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bh\Downloads\"/>
    </mc:Choice>
  </mc:AlternateContent>
  <xr:revisionPtr revIDLastSave="0" documentId="13_ncr:1_{340B84FA-3F48-4F71-AEEB-30828D20300F}" xr6:coauthVersionLast="47" xr6:coauthVersionMax="47" xr10:uidLastSave="{00000000-0000-0000-0000-000000000000}"/>
  <bookViews>
    <workbookView xWindow="-108" yWindow="-108" windowWidth="23256" windowHeight="12456" xr2:uid="{BEBA3B87-4FAC-4585-ADAF-DCC20EFC1F8A}"/>
  </bookViews>
  <sheets>
    <sheet name="Dashboard" sheetId="3" r:id="rId1"/>
    <sheet name="Transactions " sheetId="1" r:id="rId2"/>
    <sheet name="Charting" sheetId="4" r:id="rId3"/>
  </sheets>
  <definedNames>
    <definedName name="Company">'Transactions '!$C$2:$C$12</definedName>
    <definedName name="currency">'Transactions '!$I$3:$I$12</definedName>
    <definedName name="Date">'Transactions '!$B$3:$B$12</definedName>
    <definedName name="IndustryLookup">industry_lookup[#All]</definedName>
    <definedName name="Price">'Transactions '!$G$3:$G$12</definedName>
    <definedName name="Ticker">'Transactions '!$D$3:$D$12</definedName>
    <definedName name="ttl_transaction_amt">'Transactions '!$H$3:$H$12</definedName>
    <definedName name="Units">'Transactions '!$F$3:$F$12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4" l="1" a="1"/>
  <c r="N8" i="4"/>
  <c r="N9" i="4" a="1"/>
  <c r="N9" i="4" s="1"/>
  <c r="N10" i="4" a="1"/>
  <c r="N10" i="4" s="1"/>
  <c r="N11" i="4" a="1"/>
  <c r="N11" i="4" s="1"/>
  <c r="N12" i="4" a="1"/>
  <c r="N12" i="4" s="1"/>
  <c r="N4" i="4" a="1"/>
  <c r="N4" i="4" s="1"/>
  <c r="P10" i="4" a="1"/>
  <c r="P10" i="4" s="1"/>
  <c r="F4" i="4" a="1"/>
  <c r="F4" i="4" s="1"/>
  <c r="I35" i="3"/>
  <c r="I18" i="3"/>
  <c r="L3" i="4" a="1"/>
  <c r="L3" i="4" s="1"/>
  <c r="L7" i="4" a="1"/>
  <c r="L7" i="4" s="1"/>
  <c r="L8" i="4" a="1"/>
  <c r="L8" i="4" s="1"/>
  <c r="L9" i="4" a="1"/>
  <c r="L9" i="4" s="1"/>
  <c r="L10" i="4" a="1"/>
  <c r="L10" i="4"/>
  <c r="L11" i="4" a="1"/>
  <c r="L11" i="4" s="1"/>
  <c r="M5" i="4" a="1"/>
  <c r="M5" i="4"/>
  <c r="M6" i="4" a="1"/>
  <c r="M6" i="4"/>
  <c r="M7" i="4" a="1"/>
  <c r="M7" i="4"/>
  <c r="M11" i="4" a="1"/>
  <c r="M11" i="4" s="1"/>
  <c r="M12" i="4" a="1"/>
  <c r="M12" i="4"/>
  <c r="M13" i="4" a="1"/>
  <c r="M13" i="4"/>
  <c r="M2" i="4" a="1"/>
  <c r="M2" i="4" s="1"/>
  <c r="I10" i="4" a="1"/>
  <c r="I10" i="4" s="1"/>
  <c r="C5" i="4"/>
  <c r="L2" i="4" s="1" a="1"/>
  <c r="L2" i="4" s="1"/>
  <c r="C4" i="4"/>
  <c r="C8" i="3" a="1"/>
  <c r="C8" i="3" s="1"/>
  <c r="M8" i="3" a="1"/>
  <c r="M8" i="3" s="1"/>
  <c r="L8" i="3" a="1"/>
  <c r="L8" i="3" s="1"/>
  <c r="N3" i="1"/>
  <c r="N4" i="1"/>
  <c r="N5" i="1"/>
  <c r="N7" i="1"/>
  <c r="B8" i="3" a="1"/>
  <c r="B8" i="3" s="1"/>
  <c r="B8" i="4" a="1"/>
  <c r="M4" i="4" l="1" a="1"/>
  <c r="M4" i="4" s="1"/>
  <c r="N7" i="4" a="1"/>
  <c r="N7" i="4" s="1"/>
  <c r="M10" i="4" a="1"/>
  <c r="M10" i="4" s="1"/>
  <c r="L5" i="4" a="1"/>
  <c r="L5" i="4" s="1"/>
  <c r="N6" i="4" a="1"/>
  <c r="N6" i="4" s="1"/>
  <c r="N2" i="4" a="1"/>
  <c r="N2" i="4" s="1"/>
  <c r="M9" i="4" a="1"/>
  <c r="M9" i="4" s="1"/>
  <c r="L13" i="4" a="1"/>
  <c r="L13" i="4" s="1"/>
  <c r="N13" i="4" a="1"/>
  <c r="N13" i="4" s="1"/>
  <c r="N5" i="4" a="1"/>
  <c r="N5" i="4" s="1"/>
  <c r="N3" i="4" a="1"/>
  <c r="N3" i="4" s="1"/>
  <c r="L6" i="4" a="1"/>
  <c r="L6" i="4" s="1"/>
  <c r="F5" i="4"/>
  <c r="M3" i="4" a="1"/>
  <c r="M3" i="4" s="1"/>
  <c r="M8" i="4" a="1"/>
  <c r="M8" i="4" s="1"/>
  <c r="L12" i="4" a="1"/>
  <c r="L12" i="4" s="1"/>
  <c r="L4" i="4" a="1"/>
  <c r="L4" i="4" s="1"/>
  <c r="B8" i="4"/>
  <c r="F8" i="3" a="1"/>
  <c r="F8" i="3" s="1"/>
  <c r="G8" i="3" a="1"/>
  <c r="D8" i="3"/>
  <c r="D12" i="3"/>
  <c r="D11" i="3"/>
  <c r="D10" i="3"/>
  <c r="D9" i="3"/>
  <c r="G8" i="3" l="1"/>
  <c r="J8" i="3" s="1" a="1"/>
  <c r="J8" i="3" l="1"/>
  <c r="H3" i="3" s="1"/>
  <c r="H8" i="3" a="1"/>
  <c r="H8" i="3" l="1"/>
  <c r="I8" i="3" s="1" a="1"/>
  <c r="I8" i="3" s="1"/>
  <c r="G3" i="3" l="1"/>
  <c r="K8" i="3" a="1"/>
  <c r="K8" i="3" l="1"/>
  <c r="I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<sst xmlns="http://schemas.openxmlformats.org/spreadsheetml/2006/main" count="105" uniqueCount="54">
  <si>
    <t>Date</t>
  </si>
  <si>
    <t>Company</t>
  </si>
  <si>
    <t>Ticker</t>
  </si>
  <si>
    <t>Transaction Type</t>
  </si>
  <si>
    <t>Units</t>
  </si>
  <si>
    <t>Price (₹)</t>
  </si>
  <si>
    <t>Total Transaction Amount (₹)</t>
  </si>
  <si>
    <t>Currency</t>
  </si>
  <si>
    <t>Reliance Industries Ltd</t>
  </si>
  <si>
    <t>RELIANCE</t>
  </si>
  <si>
    <t>BUY</t>
  </si>
  <si>
    <t>INR</t>
  </si>
  <si>
    <t>Tata Consultancy Services</t>
  </si>
  <si>
    <t>TCS</t>
  </si>
  <si>
    <t>HDFC Bank Ltd</t>
  </si>
  <si>
    <t>HDFCBANK</t>
  </si>
  <si>
    <t>ICICI Bank Ltd</t>
  </si>
  <si>
    <t>ICICIBANK</t>
  </si>
  <si>
    <t>SELL</t>
  </si>
  <si>
    <t>Comparison  -&gt;</t>
  </si>
  <si>
    <t>Time Period (months) -&gt;</t>
  </si>
  <si>
    <t>Stock Lookup -&gt;</t>
  </si>
  <si>
    <t>Historical Performance</t>
  </si>
  <si>
    <t>Gain / (Loss) Breakdown</t>
  </si>
  <si>
    <t>Portfolio Breakdown</t>
  </si>
  <si>
    <t>52 Week Low</t>
  </si>
  <si>
    <t>52 Week High</t>
  </si>
  <si>
    <t>% Breakdown</t>
  </si>
  <si>
    <t>Market Value</t>
  </si>
  <si>
    <t>Current Price</t>
  </si>
  <si>
    <t>Quantity</t>
  </si>
  <si>
    <t>Industry</t>
  </si>
  <si>
    <t>Current Holdings</t>
  </si>
  <si>
    <t>Stock Portfolio Tracker</t>
  </si>
  <si>
    <t>Oil &amp; Gas</t>
  </si>
  <si>
    <t>Information Technology</t>
  </si>
  <si>
    <t>Banking &amp; Financial Services</t>
  </si>
  <si>
    <t>₹ Day Change</t>
  </si>
  <si>
    <t>Previous Close</t>
  </si>
  <si>
    <t>52W High</t>
  </si>
  <si>
    <t>52W Low</t>
  </si>
  <si>
    <t>Portfolio Value</t>
  </si>
  <si>
    <t>WIPRO</t>
  </si>
  <si>
    <t>Wipro Ltd</t>
  </si>
  <si>
    <t>Gain/Loss</t>
  </si>
  <si>
    <t>Gain /Loss</t>
  </si>
  <si>
    <t>Months -&gt;</t>
  </si>
  <si>
    <t>Company -&gt;</t>
  </si>
  <si>
    <t>Ticker -&gt;</t>
  </si>
  <si>
    <t>Comparison</t>
  </si>
  <si>
    <t>Actual</t>
  </si>
  <si>
    <t>Stock Price</t>
  </si>
  <si>
    <t>Comparison stock Price</t>
  </si>
  <si>
    <t>Helper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</si>
</sst>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_);\(\$#,##0.00\);\-\-_)"/>
    <numFmt numFmtId="165" formatCode="&quot;$&quot;#,##0.00"/>
    <numFmt numFmtId="166" formatCode="_ [$₹-4009]\ * #,##0.00_ ;_ [$₹-4009]\ * \-#,##0.00_ ;_ [$₹-4009]\ * &quot;-&quot;??_ ;_ @_ "/>
    <numFmt numFmtId="167" formatCode="[$$-C09]#,##0.00;\-[$$-C09]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2A3E68"/>
      <name val="Calibri"/>
      <family val="2"/>
    </font>
    <font>
      <b/>
      <sz val="16"/>
      <color theme="0"/>
      <name val="Calibri"/>
      <family val="2"/>
    </font>
    <font>
      <b/>
      <sz val="36"/>
      <color theme="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FFF99"/>
        <bgColor rgb="FFFFFF99"/>
      </patternFill>
    </fill>
    <fill>
      <patternFill patternType="solid">
        <fgColor rgb="FF0EB6BE"/>
        <bgColor rgb="FF2A3E68"/>
      </patternFill>
    </fill>
    <fill>
      <patternFill patternType="solid">
        <fgColor rgb="FF0EB6B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6" fillId="3" borderId="5" xfId="0" applyFont="1" applyFill="1" applyBorder="1" applyAlignment="1">
      <alignment horizontal="left"/>
    </xf>
    <xf numFmtId="0" fontId="7" fillId="5" borderId="0" xfId="0" applyFont="1" applyFill="1"/>
    <xf numFmtId="0" fontId="8" fillId="5" borderId="0" xfId="0" applyFont="1" applyFill="1" applyAlignment="1">
      <alignment horizontal="center" wrapText="1"/>
    </xf>
    <xf numFmtId="0" fontId="8" fillId="5" borderId="0" xfId="0" applyFont="1" applyFill="1" applyAlignment="1">
      <alignment horizontal="left" vertical="center"/>
    </xf>
    <xf numFmtId="165" fontId="10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15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5" fontId="0" fillId="0" borderId="11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" fontId="7" fillId="0" borderId="0" xfId="0" applyNumberFormat="1" applyFont="1" applyAlignment="1">
      <alignment horizontal="left"/>
    </xf>
    <xf numFmtId="0" fontId="0" fillId="0" borderId="10" xfId="0" applyBorder="1" applyAlignment="1">
      <alignment vertical="center" wrapText="1"/>
    </xf>
    <xf numFmtId="0" fontId="2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vertical="center" wrapText="1"/>
    </xf>
    <xf numFmtId="166" fontId="7" fillId="0" borderId="0" xfId="0" applyNumberFormat="1" applyFont="1" applyAlignment="1">
      <alignment horizontal="left"/>
    </xf>
    <xf numFmtId="10" fontId="7" fillId="0" borderId="0" xfId="1" applyNumberFormat="1" applyFont="1" applyAlignment="1">
      <alignment horizontal="left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7" borderId="0" xfId="0" applyFont="1" applyFill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3" fillId="7" borderId="1" xfId="0" applyFont="1" applyFill="1" applyBorder="1" applyAlignment="1">
      <alignment horizontal="right" vertical="center" wrapText="1"/>
    </xf>
    <xf numFmtId="166" fontId="10" fillId="5" borderId="0" xfId="0" applyNumberFormat="1" applyFont="1" applyFill="1" applyAlignment="1">
      <alignment horizontal="center" vertical="center"/>
    </xf>
    <xf numFmtId="15" fontId="0" fillId="0" borderId="17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0" fontId="0" fillId="0" borderId="16" xfId="0" applyBorder="1" applyAlignment="1">
      <alignment horizontal="right"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0" fillId="0" borderId="15" xfId="0" applyBorder="1" applyAlignment="1">
      <alignment horizontal="right" vertical="center" wrapText="1"/>
    </xf>
    <xf numFmtId="0" fontId="6" fillId="3" borderId="5" xfId="0" applyFont="1" applyFill="1" applyBorder="1" applyAlignment="1">
      <alignment horizontal="center"/>
    </xf>
    <xf numFmtId="16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3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" fillId="7" borderId="0" xfId="0" applyFont="1" applyFill="1" applyAlignment="1">
      <alignment horizontal="center" vertical="center" wrapText="1"/>
    </xf>
    <xf numFmtId="14" fontId="0" fillId="0" borderId="0" xfId="0" applyNumberFormat="1"/>
    <xf numFmtId="0" fontId="0" fillId="7" borderId="0" xfId="0" applyFill="1"/>
    <xf numFmtId="166" fontId="0" fillId="0" borderId="0" xfId="0" applyNumberFormat="1"/>
    <xf numFmtId="166" fontId="7" fillId="0" borderId="0" xfId="0" applyNumberFormat="1" applyFont="1"/>
    <xf numFmtId="0" fontId="6" fillId="3" borderId="0" xfId="0" applyFont="1" applyFill="1" applyAlignment="1">
      <alignment horizontal="center"/>
    </xf>
    <xf numFmtId="0" fontId="5" fillId="0" borderId="0" xfId="0" applyFont="1"/>
    <xf numFmtId="0" fontId="7" fillId="4" borderId="3" xfId="0" applyFont="1" applyFill="1" applyBorder="1" applyAlignment="1">
      <alignment horizontal="center"/>
    </xf>
    <xf numFmtId="0" fontId="5" fillId="0" borderId="2" xfId="0" applyFont="1" applyBorder="1"/>
    <xf numFmtId="0" fontId="11" fillId="5" borderId="0" xfId="0" applyFont="1" applyFill="1" applyAlignment="1">
      <alignment horizontal="center" vertical="center"/>
    </xf>
    <xf numFmtId="0" fontId="5" fillId="6" borderId="0" xfId="0" applyFont="1" applyFill="1"/>
    <xf numFmtId="0" fontId="8" fillId="5" borderId="6" xfId="0" applyFont="1" applyFill="1" applyBorder="1" applyAlignment="1">
      <alignment horizontal="center"/>
    </xf>
    <xf numFmtId="0" fontId="5" fillId="6" borderId="6" xfId="0" applyFont="1" applyFill="1" applyBorder="1"/>
    <xf numFmtId="0" fontId="8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35">
    <dxf>
      <numFmt numFmtId="166" formatCode="_ [$₹-4009]\ * #,##0.00_ ;_ [$₹-4009]\ * \-#,##0.00_ ;_ [$₹-4009]\ * &quot;-&quot;??_ ;_ @_ "/>
    </dxf>
    <dxf>
      <numFmt numFmtId="166" formatCode="_ [$₹-4009]\ * #,##0.00_ ;_ [$₹-4009]\ * \-#,##0.00_ ;_ [$₹-4009]\ * &quot;-&quot;??_ ;_ @_ "/>
    </dxf>
    <dxf>
      <numFmt numFmtId="19" formatCode="m/d/yyyy"/>
    </dxf>
    <dxf>
      <fill>
        <patternFill patternType="solid">
          <fgColor indexed="64"/>
          <bgColor theme="4" tint="0.39997558519241921"/>
        </patternFill>
      </fill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EB6BE"/>
      <color rgb="FF00CCFF"/>
      <color rgb="FF00FFFF"/>
      <color rgb="FFCCFF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92D050"/>
            </a:solidFill>
            <a:ln w="28575">
              <a:solidFill>
                <a:schemeClr val="bg1">
                  <a:alpha val="78000"/>
                </a:schemeClr>
              </a:solidFill>
            </a:ln>
          </c:spPr>
          <c:dPt>
            <c:idx val="0"/>
            <c:bubble3D val="0"/>
            <c:spPr>
              <a:solidFill>
                <a:srgbClr val="3399FF"/>
              </a:solidFill>
              <a:ln w="28575">
                <a:solidFill>
                  <a:schemeClr val="bg1">
                    <a:alpha val="78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242-413C-9A53-F11C6EDA99F4}"/>
              </c:ext>
            </c:extLst>
          </c:dPt>
          <c:dPt>
            <c:idx val="1"/>
            <c:bubble3D val="0"/>
            <c:spPr>
              <a:solidFill>
                <a:srgbClr val="CCFFFF"/>
              </a:solidFill>
              <a:ln w="28575">
                <a:solidFill>
                  <a:schemeClr val="bg1">
                    <a:alpha val="78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42-413C-9A53-F11C6EDA99F4}"/>
              </c:ext>
            </c:extLst>
          </c:dPt>
          <c:dPt>
            <c:idx val="2"/>
            <c:bubble3D val="0"/>
            <c:spPr>
              <a:solidFill>
                <a:srgbClr val="0EB6BE"/>
              </a:solidFill>
              <a:ln w="28575">
                <a:solidFill>
                  <a:schemeClr val="bg1">
                    <a:alpha val="78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42-413C-9A53-F11C6EDA99F4}"/>
              </c:ext>
            </c:extLst>
          </c:dPt>
          <c:dPt>
            <c:idx val="3"/>
            <c:bubble3D val="0"/>
            <c:spPr>
              <a:solidFill>
                <a:srgbClr val="00FFFF"/>
              </a:solidFill>
              <a:ln w="28575">
                <a:solidFill>
                  <a:schemeClr val="bg1">
                    <a:alpha val="78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242-413C-9A53-F11C6EDA99F4}"/>
              </c:ext>
            </c:extLst>
          </c:dPt>
          <c:dPt>
            <c:idx val="4"/>
            <c:bubble3D val="0"/>
            <c:spPr>
              <a:solidFill>
                <a:srgbClr val="00CCFF"/>
              </a:solidFill>
              <a:ln w="28575">
                <a:solidFill>
                  <a:schemeClr val="bg1">
                    <a:alpha val="78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42-413C-9A53-F11C6EDA99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Dashboard!$C$8:$C$12</c:f>
              <c:strCache>
                <c:ptCount val="5"/>
                <c:pt idx="0">
                  <c:v>RELIANCE</c:v>
                </c:pt>
                <c:pt idx="1">
                  <c:v>TCS</c:v>
                </c:pt>
                <c:pt idx="2">
                  <c:v>HDFCBANK</c:v>
                </c:pt>
                <c:pt idx="3">
                  <c:v>WIPRO</c:v>
                </c:pt>
                <c:pt idx="4">
                  <c:v>ICICIBANK</c:v>
                </c:pt>
              </c:strCache>
            </c:strRef>
          </c:cat>
          <c:val>
            <c:numRef>
              <c:f>Dashboard!$I$8:$I$12</c:f>
              <c:numCache>
                <c:formatCode>0.00%</c:formatCode>
                <c:ptCount val="5"/>
                <c:pt idx="0">
                  <c:v>0.13433495360141406</c:v>
                </c:pt>
                <c:pt idx="1">
                  <c:v>0.36942112240388864</c:v>
                </c:pt>
                <c:pt idx="2">
                  <c:v>0.32699955810870523</c:v>
                </c:pt>
                <c:pt idx="3">
                  <c:v>1.561349241419944E-2</c:v>
                </c:pt>
                <c:pt idx="4">
                  <c:v>0.15363087347179261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2-413C-9A53-F11C6EDA9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26584001766126"/>
          <c:y val="0.27642927781880999"/>
          <c:w val="0.25136967400103022"/>
          <c:h val="0.526632700324224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399FF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C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C2-4BA7-B085-04159B73A8F9}"/>
              </c:ext>
            </c:extLst>
          </c:dPt>
          <c:dPt>
            <c:idx val="2"/>
            <c:invertIfNegative val="0"/>
            <c:bubble3D val="0"/>
            <c:spPr>
              <a:solidFill>
                <a:srgbClr val="0EB6B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5C2-4BA7-B085-04159B73A8F9}"/>
              </c:ext>
            </c:extLst>
          </c:dPt>
          <c:dPt>
            <c:idx val="3"/>
            <c:invertIfNegative val="0"/>
            <c:bubble3D val="0"/>
            <c:spPr>
              <a:solidFill>
                <a:srgbClr val="00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C2-4BA7-B085-04159B73A8F9}"/>
              </c:ext>
            </c:extLst>
          </c:dPt>
          <c:dPt>
            <c:idx val="4"/>
            <c:invertIfNegative val="0"/>
            <c:bubble3D val="0"/>
            <c:spPr>
              <a:solidFill>
                <a:srgbClr val="00CC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5C2-4BA7-B085-04159B73A8F9}"/>
              </c:ext>
            </c:extLst>
          </c:dPt>
          <c:cat>
            <c:strRef>
              <c:f>Dashboard!$C$8:$C$12</c:f>
              <c:strCache>
                <c:ptCount val="5"/>
                <c:pt idx="0">
                  <c:v>RELIANCE</c:v>
                </c:pt>
                <c:pt idx="1">
                  <c:v>TCS</c:v>
                </c:pt>
                <c:pt idx="2">
                  <c:v>HDFCBANK</c:v>
                </c:pt>
                <c:pt idx="3">
                  <c:v>WIPRO</c:v>
                </c:pt>
                <c:pt idx="4">
                  <c:v>ICICIBANK</c:v>
                </c:pt>
              </c:strCache>
            </c:strRef>
          </c:cat>
          <c:val>
            <c:numRef>
              <c:f>Dashboard!$K$8:$K$12</c:f>
              <c:numCache>
                <c:formatCode>_ [$₹-4009]\ * #,##0.00_ ;_ [$₹-4009]\ * \-#,##0.00_ ;_ [$₹-4009]\ * "-"??_ ;_ @_ </c:formatCode>
                <c:ptCount val="5"/>
                <c:pt idx="0">
                  <c:v>11241</c:v>
                </c:pt>
                <c:pt idx="1">
                  <c:v>7195</c:v>
                </c:pt>
                <c:pt idx="2">
                  <c:v>7865</c:v>
                </c:pt>
                <c:pt idx="3">
                  <c:v>-1000</c:v>
                </c:pt>
                <c:pt idx="4">
                  <c:v>7252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2-4BA7-B085-04159B73A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7272544"/>
        <c:axId val="1817278304"/>
      </c:barChart>
      <c:catAx>
        <c:axId val="181727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78304"/>
        <c:crosses val="autoZero"/>
        <c:auto val="1"/>
        <c:lblAlgn val="ctr"/>
        <c:lblOffset val="100"/>
        <c:noMultiLvlLbl val="0"/>
      </c:catAx>
      <c:valAx>
        <c:axId val="18172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7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EB6BE"/>
              </a:solidFill>
              <a:round/>
            </a:ln>
            <a:effectLst/>
          </c:spPr>
          <c:marker>
            <c:symbol val="none"/>
          </c:marker>
          <c:cat>
            <c:numRef>
              <c:f>Charting!$L$2:$L$13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Charting!$M$2:$M$13</c:f>
              <c:numCache>
                <c:formatCode>_ [$₹-4009]\ * #,##0.00_ ;_ [$₹-4009]\ * \-#,##0.00_ ;_ [$₹-4009]\ * "-"??_ ;_ @_ </c:formatCode>
                <c:ptCount val="12"/>
                <c:pt idx="0">
                  <c:v>1385</c:v>
                </c:pt>
                <c:pt idx="1">
                  <c:v>1405</c:v>
                </c:pt>
                <c:pt idx="2">
                  <c:v>1420</c:v>
                </c:pt>
                <c:pt idx="3">
                  <c:v>1450</c:v>
                </c:pt>
                <c:pt idx="4">
                  <c:v>1465</c:v>
                </c:pt>
                <c:pt idx="5">
                  <c:v>1480</c:v>
                </c:pt>
                <c:pt idx="6">
                  <c:v>1495</c:v>
                </c:pt>
                <c:pt idx="7">
                  <c:v>1510</c:v>
                </c:pt>
                <c:pt idx="8">
                  <c:v>1500</c:v>
                </c:pt>
                <c:pt idx="9">
                  <c:v>1515</c:v>
                </c:pt>
                <c:pt idx="10">
                  <c:v>1518</c:v>
                </c:pt>
                <c:pt idx="11">
                  <c:v>1520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6-47EE-BFF2-30FEACD41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272064"/>
        <c:axId val="333267744"/>
      </c:lineChart>
      <c:dateAx>
        <c:axId val="333272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67744"/>
        <c:crosses val="autoZero"/>
        <c:auto val="1"/>
        <c:lblOffset val="100"/>
        <c:baseTimeUnit val="months"/>
      </c:dateAx>
      <c:valAx>
        <c:axId val="3332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7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Dashboard!$J$33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Charting!$L$2:$L$13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Charting!$N$2:$N$13</c:f>
              <c:numCache>
                <c:formatCode>_ [$₹-4009]\ * #,##0.00_ ;_ [$₹-4009]\ * \-#,##0.00_ ;_ [$₹-4009]\ * "-"??_ ;_ @_ </c:formatCode>
                <c:ptCount val="12"/>
                <c:pt idx="0">
                  <c:v>3850</c:v>
                </c:pt>
                <c:pt idx="1">
                  <c:v>3925</c:v>
                </c:pt>
                <c:pt idx="2">
                  <c:v>3980</c:v>
                </c:pt>
                <c:pt idx="3">
                  <c:v>4040</c:v>
                </c:pt>
                <c:pt idx="4">
                  <c:v>4095</c:v>
                </c:pt>
                <c:pt idx="5">
                  <c:v>4140</c:v>
                </c:pt>
                <c:pt idx="6">
                  <c:v>4170</c:v>
                </c:pt>
                <c:pt idx="7">
                  <c:v>4210</c:v>
                </c:pt>
                <c:pt idx="8">
                  <c:v>4195</c:v>
                </c:pt>
                <c:pt idx="9">
                  <c:v>4215</c:v>
                </c:pt>
                <c:pt idx="10">
                  <c:v>4190</c:v>
                </c:pt>
                <c:pt idx="11">
                  <c:v>4180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2D-43B8-A258-DA615C0BB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600864"/>
        <c:axId val="570603264"/>
      </c:lineChart>
      <c:lineChart>
        <c:grouping val="standard"/>
        <c:varyColors val="0"/>
        <c:ser>
          <c:idx val="0"/>
          <c:order val="0"/>
          <c:tx>
            <c:strRef>
              <c:f>Dashboard!$J$16</c:f>
              <c:strCache>
                <c:ptCount val="1"/>
                <c:pt idx="0">
                  <c:v>RELIANCE</c:v>
                </c:pt>
              </c:strCache>
            </c:strRef>
          </c:tx>
          <c:spPr>
            <a:ln w="28575" cap="rnd">
              <a:solidFill>
                <a:srgbClr val="0EB6BE"/>
              </a:solidFill>
              <a:round/>
            </a:ln>
            <a:effectLst/>
          </c:spPr>
          <c:marker>
            <c:symbol val="none"/>
          </c:marker>
          <c:cat>
            <c:numRef>
              <c:f>Charting!$L$2:$L$13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Charting!$M$2:$M$13</c:f>
              <c:numCache>
                <c:formatCode>_ [$₹-4009]\ * #,##0.00_ ;_ [$₹-4009]\ * \-#,##0.00_ ;_ [$₹-4009]\ * "-"??_ ;_ @_ </c:formatCode>
                <c:ptCount val="12"/>
                <c:pt idx="0">
                  <c:v>1385</c:v>
                </c:pt>
                <c:pt idx="1">
                  <c:v>1405</c:v>
                </c:pt>
                <c:pt idx="2">
                  <c:v>1420</c:v>
                </c:pt>
                <c:pt idx="3">
                  <c:v>1450</c:v>
                </c:pt>
                <c:pt idx="4">
                  <c:v>1465</c:v>
                </c:pt>
                <c:pt idx="5">
                  <c:v>1480</c:v>
                </c:pt>
                <c:pt idx="6">
                  <c:v>1495</c:v>
                </c:pt>
                <c:pt idx="7">
                  <c:v>1510</c:v>
                </c:pt>
                <c:pt idx="8">
                  <c:v>1500</c:v>
                </c:pt>
                <c:pt idx="9">
                  <c:v>1515</c:v>
                </c:pt>
                <c:pt idx="10">
                  <c:v>1518</c:v>
                </c:pt>
                <c:pt idx="11">
                  <c:v>1520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2D-43B8-A258-DA615C0BB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407280"/>
        <c:axId val="702407760"/>
      </c:lineChart>
      <c:dateAx>
        <c:axId val="570600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03264"/>
        <c:crosses val="autoZero"/>
        <c:auto val="1"/>
        <c:lblOffset val="100"/>
        <c:baseTimeUnit val="months"/>
      </c:dateAx>
      <c:valAx>
        <c:axId val="57060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00864"/>
        <c:crosses val="autoZero"/>
        <c:crossBetween val="between"/>
      </c:valAx>
      <c:valAx>
        <c:axId val="702407760"/>
        <c:scaling>
          <c:orientation val="minMax"/>
        </c:scaling>
        <c:delete val="0"/>
        <c:axPos val="r"/>
        <c:numFmt formatCode="_ [$₹-4009]\ * #,##0.00_ ;_ [$₹-4009]\ * \-#,##0.00_ ;_ [$₹-4009]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407280"/>
        <c:crosses val="max"/>
        <c:crossBetween val="between"/>
      </c:valAx>
      <c:dateAx>
        <c:axId val="7024072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0240776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EB6BE"/>
              </a:solidFill>
              <a:round/>
            </a:ln>
            <a:effectLst/>
          </c:spPr>
          <c:marker>
            <c:symbol val="none"/>
          </c:marker>
          <c:cat>
            <c:numRef>
              <c:f>Charting!$L$2:$L$13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Charting!$M$2:$M$13</c:f>
              <c:numCache>
                <c:formatCode>_ [$₹-4009]\ * #,##0.00_ ;_ [$₹-4009]\ * \-#,##0.00_ ;_ [$₹-4009]\ * "-"??_ ;_ @_ </c:formatCode>
                <c:ptCount val="12"/>
                <c:pt idx="0">
                  <c:v>1385</c:v>
                </c:pt>
                <c:pt idx="1">
                  <c:v>1405</c:v>
                </c:pt>
                <c:pt idx="2">
                  <c:v>1420</c:v>
                </c:pt>
                <c:pt idx="3">
                  <c:v>1450</c:v>
                </c:pt>
                <c:pt idx="4">
                  <c:v>1465</c:v>
                </c:pt>
                <c:pt idx="5">
                  <c:v>1480</c:v>
                </c:pt>
                <c:pt idx="6">
                  <c:v>1495</c:v>
                </c:pt>
                <c:pt idx="7">
                  <c:v>1510</c:v>
                </c:pt>
                <c:pt idx="8">
                  <c:v>1500</c:v>
                </c:pt>
                <c:pt idx="9">
                  <c:v>1515</c:v>
                </c:pt>
                <c:pt idx="10">
                  <c:v>1518</c:v>
                </c:pt>
                <c:pt idx="11">
                  <c:v>1520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8-4925-B80D-100DE0585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272064"/>
        <c:axId val="333267744"/>
      </c:lineChart>
      <c:dateAx>
        <c:axId val="333272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67744"/>
        <c:crosses val="autoZero"/>
        <c:auto val="1"/>
        <c:lblOffset val="100"/>
        <c:baseTimeUnit val="months"/>
      </c:dateAx>
      <c:valAx>
        <c:axId val="3332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7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Dashboard!$J$33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Charting!$L$2:$L$13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Charting!$N$2:$N$13</c:f>
              <c:numCache>
                <c:formatCode>_ [$₹-4009]\ * #,##0.00_ ;_ [$₹-4009]\ * \-#,##0.00_ ;_ [$₹-4009]\ * "-"??_ ;_ @_ </c:formatCode>
                <c:ptCount val="12"/>
                <c:pt idx="0">
                  <c:v>3850</c:v>
                </c:pt>
                <c:pt idx="1">
                  <c:v>3925</c:v>
                </c:pt>
                <c:pt idx="2">
                  <c:v>3980</c:v>
                </c:pt>
                <c:pt idx="3">
                  <c:v>4040</c:v>
                </c:pt>
                <c:pt idx="4">
                  <c:v>4095</c:v>
                </c:pt>
                <c:pt idx="5">
                  <c:v>4140</c:v>
                </c:pt>
                <c:pt idx="6">
                  <c:v>4170</c:v>
                </c:pt>
                <c:pt idx="7">
                  <c:v>4210</c:v>
                </c:pt>
                <c:pt idx="8">
                  <c:v>4195</c:v>
                </c:pt>
                <c:pt idx="9">
                  <c:v>4215</c:v>
                </c:pt>
                <c:pt idx="10">
                  <c:v>4190</c:v>
                </c:pt>
                <c:pt idx="11">
                  <c:v>4180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F-4C64-BE86-43388D6A2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600864"/>
        <c:axId val="570603264"/>
      </c:lineChart>
      <c:lineChart>
        <c:grouping val="standard"/>
        <c:varyColors val="0"/>
        <c:ser>
          <c:idx val="0"/>
          <c:order val="0"/>
          <c:tx>
            <c:strRef>
              <c:f>Dashboard!$J$16</c:f>
              <c:strCache>
                <c:ptCount val="1"/>
                <c:pt idx="0">
                  <c:v>RELIANCE</c:v>
                </c:pt>
              </c:strCache>
            </c:strRef>
          </c:tx>
          <c:spPr>
            <a:ln w="28575" cap="rnd">
              <a:solidFill>
                <a:srgbClr val="0EB6BE"/>
              </a:solidFill>
              <a:round/>
            </a:ln>
            <a:effectLst/>
          </c:spPr>
          <c:marker>
            <c:symbol val="none"/>
          </c:marker>
          <c:cat>
            <c:numRef>
              <c:f>Charting!$L$2:$L$13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Charting!$M$2:$M$13</c:f>
              <c:numCache>
                <c:formatCode>_ [$₹-4009]\ * #,##0.00_ ;_ [$₹-4009]\ * \-#,##0.00_ ;_ [$₹-4009]\ * "-"??_ ;_ @_ </c:formatCode>
                <c:ptCount val="12"/>
                <c:pt idx="0">
                  <c:v>1385</c:v>
                </c:pt>
                <c:pt idx="1">
                  <c:v>1405</c:v>
                </c:pt>
                <c:pt idx="2">
                  <c:v>1420</c:v>
                </c:pt>
                <c:pt idx="3">
                  <c:v>1450</c:v>
                </c:pt>
                <c:pt idx="4">
                  <c:v>1465</c:v>
                </c:pt>
                <c:pt idx="5">
                  <c:v>1480</c:v>
                </c:pt>
                <c:pt idx="6">
                  <c:v>1495</c:v>
                </c:pt>
                <c:pt idx="7">
                  <c:v>1510</c:v>
                </c:pt>
                <c:pt idx="8">
                  <c:v>1500</c:v>
                </c:pt>
                <c:pt idx="9">
                  <c:v>1515</c:v>
                </c:pt>
                <c:pt idx="10">
                  <c:v>1518</c:v>
                </c:pt>
                <c:pt idx="11">
                  <c:v>1520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F-4C64-BE86-43388D6A2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407280"/>
        <c:axId val="702407760"/>
      </c:lineChart>
      <c:dateAx>
        <c:axId val="570600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03264"/>
        <c:crosses val="autoZero"/>
        <c:auto val="1"/>
        <c:lblOffset val="100"/>
        <c:baseTimeUnit val="months"/>
      </c:dateAx>
      <c:valAx>
        <c:axId val="57060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00864"/>
        <c:crosses val="autoZero"/>
        <c:crossBetween val="between"/>
      </c:valAx>
      <c:valAx>
        <c:axId val="702407760"/>
        <c:scaling>
          <c:orientation val="minMax"/>
        </c:scaling>
        <c:delete val="0"/>
        <c:axPos val="r"/>
        <c:numFmt formatCode="_ [$₹-4009]\ * #,##0.00_ ;_ [$₹-4009]\ * \-#,##0.00_ ;_ [$₹-4009]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407280"/>
        <c:crosses val="max"/>
        <c:crossBetween val="between"/>
      </c:valAx>
      <c:dateAx>
        <c:axId val="7024072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0240776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47625</xdr:rowOff>
    </xdr:from>
    <xdr:ext cx="533400" cy="533400"/>
    <xdr:pic>
      <xdr:nvPicPr>
        <xdr:cNvPr id="2" name="image2.png" descr="Bar graph with upward trend with solid fill">
          <a:extLst>
            <a:ext uri="{FF2B5EF4-FFF2-40B4-BE49-F238E27FC236}">
              <a16:creationId xmlns:a16="http://schemas.microsoft.com/office/drawing/2014/main" id="{2AF4929B-50EA-4D8D-AAAA-01F9484702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0125" y="230505"/>
          <a:ext cx="533400" cy="533400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83820</xdr:colOff>
      <xdr:row>15</xdr:row>
      <xdr:rowOff>106680</xdr:rowOff>
    </xdr:from>
    <xdr:to>
      <xdr:col>3</xdr:col>
      <xdr:colOff>0</xdr:colOff>
      <xdr:row>29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D8A184-E728-8268-7F7F-A224B997C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982980</xdr:colOff>
      <xdr:row>15</xdr:row>
      <xdr:rowOff>114300</xdr:rowOff>
    </xdr:from>
    <xdr:to>
      <xdr:col>7</xdr:col>
      <xdr:colOff>243840</xdr:colOff>
      <xdr:row>29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11F339-708B-AA27-5FD0-D917FA02E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91807</xdr:colOff>
      <xdr:row>18</xdr:row>
      <xdr:rowOff>88503</xdr:rowOff>
    </xdr:from>
    <xdr:to>
      <xdr:col>13</xdr:col>
      <xdr:colOff>19740</xdr:colOff>
      <xdr:row>31</xdr:row>
      <xdr:rowOff>55085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E7A6E5-5324-4BF3-9F8C-98374CF43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110167</xdr:colOff>
      <xdr:row>35</xdr:row>
      <xdr:rowOff>91807</xdr:rowOff>
    </xdr:from>
    <xdr:to>
      <xdr:col>13</xdr:col>
      <xdr:colOff>9181</xdr:colOff>
      <xdr:row>51</xdr:row>
      <xdr:rowOff>44067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9D90AA-5CBF-4DED-972F-EBBBAFC4E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108237</xdr:colOff>
      <xdr:row>15</xdr:row>
      <xdr:rowOff>39833</xdr:rowOff>
    </xdr:from>
    <xdr:to>
      <xdr:col>13</xdr:col>
      <xdr:colOff>1415761</xdr:colOff>
      <xdr:row>31</xdr:row>
      <xdr:rowOff>12124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E2562-0B0C-AEA0-13E6-EFAF73B67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212147</xdr:colOff>
      <xdr:row>31</xdr:row>
      <xdr:rowOff>126423</xdr:rowOff>
    </xdr:from>
    <xdr:to>
      <xdr:col>13</xdr:col>
      <xdr:colOff>1104034</xdr:colOff>
      <xdr:row>47</xdr:row>
      <xdr:rowOff>98714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BBA431-FA7A-BAC0-7286-E7CBC581A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CBEF7-AC14-4E39-AE47-7E0753BB03FB}" name="industry_lookup" displayName="industry_lookup" ref="L2:Q7" totalsRowShown="0" headerRowDxfId="34" headerRowBorderDxfId="33" tableBorderDxfId="32" totalsRowBorderDxfId="31">
  <autoFilter ref="L2:Q7" xr:uid="{064CBEF7-AC14-4E39-AE47-7E0753BB03FB}"/>
  <tableColumns count="6">
    <tableColumn id="1" xr3:uid="{99B85D58-46D1-4DE9-8B36-0C5C27961E2C}" name="Ticker" dataDxfId="30"/>
    <tableColumn id="2" xr3:uid="{328F0F5A-348A-436B-84CC-70BD255E69A8}" name="Industry" dataDxfId="29"/>
    <tableColumn id="3" xr3:uid="{CFDDF5F2-A458-45BE-AD0B-D4FFA410D510}" name="Current Price" dataDxfId="28">
      <calculatedColumnFormula>R3</calculatedColumnFormula>
    </tableColumn>
    <tableColumn id="4" xr3:uid="{90BDEF59-C2C5-4E81-93E4-6060F4804F91}" name="Previous Close" dataDxfId="27"/>
    <tableColumn id="5" xr3:uid="{9B93C727-772E-428A-8850-F33B82A3E596}" name="52W High" dataDxfId="26"/>
    <tableColumn id="6" xr3:uid="{332DF423-AD08-4FA4-B509-45F75351C08A}" name="52W Low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B329E7-E375-4713-8C4A-986BFA5ADB6D}" name="Table2" displayName="Table2" ref="B2:I12" totalsRowShown="0" headerRowDxfId="24" dataDxfId="22" headerRowBorderDxfId="23" tableBorderDxfId="21" totalsRowBorderDxfId="20">
  <autoFilter ref="B2:I12" xr:uid="{E5B329E7-E375-4713-8C4A-986BFA5ADB6D}"/>
  <tableColumns count="8">
    <tableColumn id="1" xr3:uid="{0BE90858-2FBB-48E5-91B5-59EB2F2D82AC}" name="Date" dataDxfId="19"/>
    <tableColumn id="2" xr3:uid="{D75DF1E6-29DF-47F4-8058-0270BC72C701}" name="Company" dataDxfId="18"/>
    <tableColumn id="3" xr3:uid="{C024E30B-F7F8-4E32-8E10-56004ACEDFD9}" name="Ticker" dataDxfId="17"/>
    <tableColumn id="4" xr3:uid="{FFBDE338-04F4-4607-8A1E-DE696690430C}" name="Transaction Type" dataDxfId="16"/>
    <tableColumn id="5" xr3:uid="{14E5D622-AE7B-48F9-9052-F0A6E885C9EB}" name="Units" dataDxfId="15"/>
    <tableColumn id="6" xr3:uid="{88A38983-66B1-4DA0-9005-3B39E2D9A203}" name="Price (₹)" dataDxfId="14"/>
    <tableColumn id="7" xr3:uid="{0E72F8B6-CC55-464C-8091-99CA9A46BCC6}" name="Total Transaction Amount (₹)" dataDxfId="13"/>
    <tableColumn id="8" xr3:uid="{1F2F7CAA-EF6C-4689-A37B-F10B416ABEB4}" name="Currency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3E9936-20AA-412F-A242-BA5EDEAA182E}" name="Historical_Data" displayName="Historical_Data" ref="B10:G22" totalsRowShown="0" headerRowDxfId="11" dataDxfId="10">
  <autoFilter ref="B10:G22" xr:uid="{053E9936-20AA-412F-A242-BA5EDEAA182E}"/>
  <tableColumns count="6">
    <tableColumn id="1" xr3:uid="{77145159-FEEA-4C46-BF23-228EF195876A}" name="Date" dataDxfId="9"/>
    <tableColumn id="2" xr3:uid="{020DB4B5-656A-4811-845E-381F113B8657}" name="RELIANCE" dataDxfId="8"/>
    <tableColumn id="3" xr3:uid="{5338C021-D927-45F4-A601-9550B5B88E07}" name="TCS" dataDxfId="7"/>
    <tableColumn id="4" xr3:uid="{4D6CBC82-519E-4256-A866-7DE75DDC2AD7}" name="HDFCBANK" dataDxfId="6"/>
    <tableColumn id="5" xr3:uid="{98512364-908E-46C3-835D-FA8C5B46DFCD}" name="WIPRO" dataDxfId="5"/>
    <tableColumn id="6" xr3:uid="{1A652CBA-5389-479F-BB7A-D161ED111FF2}" name="ICICIBANK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3A97F6-DB21-4D34-B708-819841B4E694}" name="Table4" displayName="Table4" ref="K1:N13" totalsRowShown="0" headerRowDxfId="3">
  <autoFilter ref="K1:N13" xr:uid="{7B3A97F6-DB21-4D34-B708-819841B4E694}"/>
  <tableColumns count="4">
    <tableColumn id="1" xr3:uid="{C3B3F873-9DC2-4A9C-8A39-7AFD8FB9B10F}" name="Helper Number"/>
    <tableColumn id="2" xr3:uid="{B284101B-B831-42B6-BB86-1D734FDBA94E}" name="Date" dataDxfId="2">
      <calculatedColumnFormula array="1">IFERROR(
INDEX(Historical_Data[Date],
ROWS(Historical_Data[Date])-$C$5+K2),
""
)</calculatedColumnFormula>
    </tableColumn>
    <tableColumn id="3" xr3:uid="{D8BEF8A2-4B5D-4064-9B61-49053B130671}" name="Stock Price" dataDxfId="1">
      <calculatedColumnFormula array="1">IFERROR(
INDEX(_xlfn.ANCHORARRAY($I$10),ROWS(_xlfn.ANCHORARRAY($I$10))-$C$5+K2),
""
)</calculatedColumnFormula>
    </tableColumn>
    <tableColumn id="4" xr3:uid="{777459D7-346F-4FF2-8D1B-C0E5F40C5EF9}" name="Comparison stock Price" dataDxfId="0">
      <calculatedColumnFormula array="1">IFERROR(
INDEX(_xlfn.ANCHORARRAY($P$10),ROWS(_xlfn.ANCHORARRAY($P$10))-$C$5+K2),
""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43A0-0D9E-408D-A977-05F86F934795}">
  <dimension ref="A1:Z1000"/>
  <sheetViews>
    <sheetView showGridLines="0" tabSelected="1" zoomScale="99" workbookViewId="0">
      <selection activeCell="J16" sqref="J16"/>
    </sheetView>
  </sheetViews>
  <sheetFormatPr defaultColWidth="14.44140625" defaultRowHeight="15" customHeight="1" x14ac:dyDescent="0.3"/>
  <cols>
    <col min="1" max="1" width="3.109375" customWidth="1"/>
    <col min="2" max="2" width="35.44140625" customWidth="1"/>
    <col min="3" max="3" width="13.33203125" customWidth="1"/>
    <col min="4" max="4" width="19.109375" customWidth="1"/>
    <col min="5" max="5" width="13.109375" customWidth="1"/>
    <col min="6" max="6" width="14.44140625" customWidth="1"/>
    <col min="7" max="7" width="19" bestFit="1" customWidth="1"/>
    <col min="8" max="8" width="13.44140625" customWidth="1"/>
    <col min="9" max="9" width="15.33203125" bestFit="1" customWidth="1"/>
    <col min="10" max="12" width="13.109375" customWidth="1"/>
    <col min="13" max="13" width="11.44140625" customWidth="1"/>
    <col min="14" max="26" width="8.88671875" customWidth="1"/>
  </cols>
  <sheetData>
    <row r="1" spans="1:26" ht="7.5" customHeight="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6.5" customHeight="1" x14ac:dyDescent="0.3">
      <c r="A2" s="15"/>
      <c r="B2" s="78" t="s">
        <v>33</v>
      </c>
      <c r="C2" s="79"/>
      <c r="D2" s="79"/>
      <c r="E2" s="79"/>
      <c r="F2" s="16"/>
      <c r="G2" s="16" t="s">
        <v>41</v>
      </c>
      <c r="H2" s="16" t="s">
        <v>37</v>
      </c>
      <c r="I2" s="16" t="s">
        <v>45</v>
      </c>
      <c r="J2" s="15"/>
      <c r="K2" s="15"/>
      <c r="L2" s="15"/>
      <c r="M2" s="17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30.75" customHeight="1" x14ac:dyDescent="0.3">
      <c r="A3" s="15"/>
      <c r="B3" s="79"/>
      <c r="C3" s="79"/>
      <c r="D3" s="79"/>
      <c r="E3" s="79"/>
      <c r="F3" s="18"/>
      <c r="G3" s="45">
        <f>SUM(_xlfn.ANCHORARRAY(H8))</f>
        <v>339450</v>
      </c>
      <c r="H3" s="45">
        <f>SUM(_xlfn.ANCHORARRAY(J8))</f>
        <v>450</v>
      </c>
      <c r="I3" s="18">
        <f>SUM(_xlfn.ANCHORARRAY(K8))</f>
        <v>32553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7.5" customHeigh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25" customHeight="1" x14ac:dyDescent="0.3"/>
    <row r="6" spans="1:26" ht="14.25" customHeight="1" x14ac:dyDescent="0.3">
      <c r="B6" s="80" t="s">
        <v>32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</row>
    <row r="7" spans="1:26" ht="14.25" customHeight="1" x14ac:dyDescent="0.3">
      <c r="B7" s="14" t="s">
        <v>1</v>
      </c>
      <c r="C7" s="14" t="s">
        <v>2</v>
      </c>
      <c r="D7" s="14" t="s">
        <v>31</v>
      </c>
      <c r="E7" s="14"/>
      <c r="F7" s="14" t="s">
        <v>30</v>
      </c>
      <c r="G7" s="14" t="s">
        <v>29</v>
      </c>
      <c r="H7" s="14" t="s">
        <v>28</v>
      </c>
      <c r="I7" s="14" t="s">
        <v>27</v>
      </c>
      <c r="J7" s="14" t="s">
        <v>37</v>
      </c>
      <c r="K7" s="60" t="s">
        <v>44</v>
      </c>
      <c r="L7" s="14" t="s">
        <v>26</v>
      </c>
      <c r="M7" s="14" t="s">
        <v>25</v>
      </c>
    </row>
    <row r="8" spans="1:26" ht="14.25" customHeight="1" x14ac:dyDescent="0.3">
      <c r="B8" s="13" t="str" cm="1">
        <f t="array" ref="B8:B12">_xlfn.UNIQUE(_xlfn._xlws.FILTER('Transactions '!C3:C12,SUMIFS(Units,'Transactions '!C3:C12,'Transactions '!C3:C12)&gt;0))</f>
        <v>Reliance Industries Ltd</v>
      </c>
      <c r="C8" s="13" t="str" cm="1">
        <f t="array" ref="C8:C12">_xlfn.UNIQUE(_xlfn._xlws.FILTER('Transactions '!D3:D12,SUMIFS(Units,'Transactions '!D3:D12,'Transactions '!D3:D12)&gt;0))</f>
        <v>RELIANCE</v>
      </c>
      <c r="D8" s="13" t="str">
        <f>_xlfn.XLOOKUP(C8, industry_lookup[Ticker],industry_lookup[Industry])</f>
        <v>Oil &amp; Gas</v>
      </c>
      <c r="E8" s="13"/>
      <c r="F8" s="33" cm="1">
        <f t="array" ref="F8:F12">SUMIFS(Units,Ticker,_xlfn.ANCHORARRAY(Dashboard!C8))</f>
        <v>30</v>
      </c>
      <c r="G8" s="37" cm="1">
        <f t="array" ref="G8:G12">_xlfn.XLOOKUP(_xlfn.ANCHORARRAY(C8),industry_lookup[Ticker],industry_lookup[Current Price])</f>
        <v>1520</v>
      </c>
      <c r="H8" s="37" cm="1">
        <f t="array" ref="H8:H12">_xlfn.ANCHORARRAY(G8)*_xlfn.ANCHORARRAY(F8)</f>
        <v>45600</v>
      </c>
      <c r="I8" s="38" cm="1">
        <f t="array" ref="I8:I12">_xlfn.ANCHORARRAY(H8)/SUM(_xlfn.ANCHORARRAY(H8))</f>
        <v>0.13433495360141406</v>
      </c>
      <c r="J8" s="37" cm="1">
        <f t="array" ref="J8:J12">(_xlfn.ANCHORARRAY(G8)-industry_lookup[Previous Close])*_xlfn.ANCHORARRAY(F8)</f>
        <v>360</v>
      </c>
      <c r="K8" s="37" cm="1">
        <f t="array" ref="K8:K12">_xlfn.ANCHORARRAY(H8)-SUMIFS(ttl_transaction_amt,Table2[Company],_xlfn.ANCHORARRAY(Dashboard!B8))</f>
        <v>11241</v>
      </c>
      <c r="L8" s="37" cm="1">
        <f t="array" ref="L8:L12">industry_lookup[52W High]</f>
        <v>1608</v>
      </c>
      <c r="M8" s="37" cm="1">
        <f t="array" ref="M8:M12">industry_lookup[52W Low]</f>
        <v>1217</v>
      </c>
    </row>
    <row r="9" spans="1:26" ht="14.25" customHeight="1" x14ac:dyDescent="0.3">
      <c r="B9" s="13" t="str">
        <v>Tata Consultancy Services</v>
      </c>
      <c r="C9" s="13" t="str">
        <v>TCS</v>
      </c>
      <c r="D9" s="13" t="str">
        <f>_xlfn.XLOOKUP(C9, industry_lookup[Ticker],industry_lookup[Industry])</f>
        <v>Information Technology</v>
      </c>
      <c r="E9" s="13"/>
      <c r="F9" s="33">
        <v>30</v>
      </c>
      <c r="G9" s="37">
        <v>4180</v>
      </c>
      <c r="H9" s="37">
        <v>125400</v>
      </c>
      <c r="I9" s="38">
        <v>0.36942112240388864</v>
      </c>
      <c r="J9" s="37">
        <v>-750</v>
      </c>
      <c r="K9" s="37">
        <v>7195</v>
      </c>
      <c r="L9" s="37">
        <v>4593</v>
      </c>
      <c r="M9" s="37">
        <v>3311</v>
      </c>
    </row>
    <row r="10" spans="1:26" ht="14.25" customHeight="1" x14ac:dyDescent="0.3">
      <c r="B10" s="13" t="str">
        <v>HDFC Bank Ltd</v>
      </c>
      <c r="C10" s="13" t="str">
        <v>HDFCBANK</v>
      </c>
      <c r="D10" s="13" t="str">
        <f>_xlfn.XLOOKUP(C10, industry_lookup[Ticker],industry_lookup[Industry])</f>
        <v>Banking &amp; Financial Services</v>
      </c>
      <c r="E10" s="13"/>
      <c r="F10" s="33">
        <v>60</v>
      </c>
      <c r="G10" s="37">
        <v>1850</v>
      </c>
      <c r="H10" s="37">
        <v>111000</v>
      </c>
      <c r="I10" s="38">
        <v>0.32699955810870523</v>
      </c>
      <c r="J10" s="37">
        <v>480</v>
      </c>
      <c r="K10" s="37">
        <v>7865</v>
      </c>
      <c r="L10" s="37">
        <v>1881</v>
      </c>
      <c r="M10" s="37">
        <v>1363</v>
      </c>
    </row>
    <row r="11" spans="1:26" ht="14.25" customHeight="1" x14ac:dyDescent="0.3">
      <c r="B11" s="13" t="str">
        <v>Wipro Ltd</v>
      </c>
      <c r="C11" s="13" t="str">
        <v>WIPRO</v>
      </c>
      <c r="D11" s="13" t="str">
        <f>_xlfn.XLOOKUP(C11, industry_lookup[Ticker],industry_lookup[Industry])</f>
        <v>Information Technology</v>
      </c>
      <c r="E11" s="13"/>
      <c r="F11" s="33">
        <v>20</v>
      </c>
      <c r="G11" s="37">
        <v>265</v>
      </c>
      <c r="H11" s="37">
        <v>5300</v>
      </c>
      <c r="I11" s="38">
        <v>1.561349241419944E-2</v>
      </c>
      <c r="J11" s="37">
        <v>-60</v>
      </c>
      <c r="K11" s="37">
        <v>-1000</v>
      </c>
      <c r="L11" s="37">
        <v>320</v>
      </c>
      <c r="M11" s="37">
        <v>208</v>
      </c>
    </row>
    <row r="12" spans="1:26" ht="14.25" customHeight="1" x14ac:dyDescent="0.3">
      <c r="B12" s="13" t="str">
        <v>ICICI Bank Ltd</v>
      </c>
      <c r="C12" s="13" t="str">
        <v>ICICIBANK</v>
      </c>
      <c r="D12" s="13" t="str">
        <f>_xlfn.XLOOKUP(C12, industry_lookup[Ticker],industry_lookup[Industry])</f>
        <v>Banking &amp; Financial Services</v>
      </c>
      <c r="E12" s="13"/>
      <c r="F12" s="33">
        <v>35</v>
      </c>
      <c r="G12" s="37">
        <v>1490</v>
      </c>
      <c r="H12" s="37">
        <v>52150</v>
      </c>
      <c r="I12" s="38">
        <v>0.15363087347179261</v>
      </c>
      <c r="J12" s="37">
        <v>420</v>
      </c>
      <c r="K12" s="37">
        <v>7252</v>
      </c>
      <c r="L12" s="37">
        <v>1542</v>
      </c>
      <c r="M12" s="37">
        <v>1039</v>
      </c>
    </row>
    <row r="13" spans="1:26" ht="14.25" customHeight="1" x14ac:dyDescent="0.3">
      <c r="G13" s="12"/>
    </row>
    <row r="14" spans="1:26" ht="14.25" customHeight="1" x14ac:dyDescent="0.3">
      <c r="B14" s="82" t="s">
        <v>24</v>
      </c>
      <c r="C14" s="79"/>
      <c r="E14" s="82" t="s">
        <v>23</v>
      </c>
      <c r="F14" s="79"/>
      <c r="G14" s="79"/>
      <c r="I14" s="82" t="s">
        <v>22</v>
      </c>
      <c r="J14" s="79"/>
      <c r="K14" s="79"/>
      <c r="L14" s="79"/>
      <c r="M14" s="79"/>
    </row>
    <row r="15" spans="1:26" ht="9" customHeight="1" x14ac:dyDescent="0.3">
      <c r="E15" s="11"/>
      <c r="I15" s="10"/>
      <c r="J15" s="9"/>
      <c r="K15" s="9"/>
      <c r="L15" s="9"/>
      <c r="M15" s="9"/>
    </row>
    <row r="16" spans="1:26" ht="14.25" customHeight="1" x14ac:dyDescent="0.3">
      <c r="I16" s="6" t="s">
        <v>21</v>
      </c>
      <c r="J16" s="8" t="s">
        <v>9</v>
      </c>
      <c r="L16" s="6" t="s">
        <v>20</v>
      </c>
      <c r="M16" s="7">
        <v>12</v>
      </c>
    </row>
    <row r="17" spans="9:13" ht="6.75" customHeight="1" x14ac:dyDescent="0.3"/>
    <row r="18" spans="9:13" ht="14.25" customHeight="1" x14ac:dyDescent="0.3">
      <c r="I18" s="74" t="str">
        <f>M16&amp;"-Month Trailing Closing Prices"</f>
        <v>12-Month Trailing Closing Prices</v>
      </c>
      <c r="J18" s="75"/>
      <c r="K18" s="75"/>
      <c r="L18" s="75"/>
      <c r="M18" s="75"/>
    </row>
    <row r="19" spans="9:13" ht="14.25" customHeight="1" x14ac:dyDescent="0.3"/>
    <row r="20" spans="9:13" ht="14.25" customHeight="1" x14ac:dyDescent="0.3"/>
    <row r="21" spans="9:13" ht="14.25" customHeight="1" x14ac:dyDescent="0.3"/>
    <row r="22" spans="9:13" ht="14.25" customHeight="1" x14ac:dyDescent="0.3"/>
    <row r="23" spans="9:13" ht="14.25" customHeight="1" x14ac:dyDescent="0.3"/>
    <row r="24" spans="9:13" ht="14.25" customHeight="1" x14ac:dyDescent="0.3"/>
    <row r="25" spans="9:13" ht="14.25" customHeight="1" x14ac:dyDescent="0.3"/>
    <row r="26" spans="9:13" ht="14.25" customHeight="1" x14ac:dyDescent="0.3"/>
    <row r="27" spans="9:13" ht="14.25" customHeight="1" x14ac:dyDescent="0.3"/>
    <row r="28" spans="9:13" ht="14.25" customHeight="1" x14ac:dyDescent="0.3"/>
    <row r="29" spans="9:13" ht="14.25" customHeight="1" x14ac:dyDescent="0.3"/>
    <row r="30" spans="9:13" ht="14.25" customHeight="1" x14ac:dyDescent="0.3"/>
    <row r="31" spans="9:13" ht="14.25" customHeight="1" x14ac:dyDescent="0.3"/>
    <row r="32" spans="9:13" ht="14.25" customHeight="1" x14ac:dyDescent="0.3"/>
    <row r="33" spans="9:13" ht="14.25" customHeight="1" x14ac:dyDescent="0.3">
      <c r="I33" s="6" t="s">
        <v>19</v>
      </c>
      <c r="J33" s="76" t="s">
        <v>13</v>
      </c>
      <c r="K33" s="77"/>
    </row>
    <row r="34" spans="9:13" ht="6.75" customHeight="1" x14ac:dyDescent="0.3"/>
    <row r="35" spans="9:13" ht="14.25" customHeight="1" x14ac:dyDescent="0.3">
      <c r="I35" s="74" t="str">
        <f>M16&amp;"-Month Trailing Closing Prices"</f>
        <v>12-Month Trailing Closing Prices</v>
      </c>
      <c r="J35" s="75"/>
      <c r="K35" s="75"/>
      <c r="L35" s="75"/>
      <c r="M35" s="75"/>
    </row>
    <row r="36" spans="9:13" ht="14.25" customHeight="1" x14ac:dyDescent="0.3"/>
    <row r="37" spans="9:13" ht="14.25" customHeight="1" x14ac:dyDescent="0.3"/>
    <row r="38" spans="9:13" ht="14.25" customHeight="1" x14ac:dyDescent="0.3"/>
    <row r="39" spans="9:13" ht="14.25" customHeight="1" x14ac:dyDescent="0.3"/>
    <row r="40" spans="9:13" ht="14.25" customHeight="1" x14ac:dyDescent="0.3"/>
    <row r="41" spans="9:13" ht="14.25" customHeight="1" x14ac:dyDescent="0.3"/>
    <row r="42" spans="9:13" ht="14.25" customHeight="1" x14ac:dyDescent="0.3"/>
    <row r="43" spans="9:13" ht="14.25" customHeight="1" x14ac:dyDescent="0.3"/>
    <row r="44" spans="9:13" ht="14.25" customHeight="1" x14ac:dyDescent="0.3"/>
    <row r="45" spans="9:13" ht="14.25" customHeight="1" x14ac:dyDescent="0.3"/>
    <row r="46" spans="9:13" ht="14.25" customHeight="1" x14ac:dyDescent="0.3"/>
    <row r="47" spans="9:13" ht="14.25" customHeight="1" x14ac:dyDescent="0.3"/>
    <row r="48" spans="9:1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8">
    <mergeCell ref="I18:M18"/>
    <mergeCell ref="J33:K33"/>
    <mergeCell ref="I35:M35"/>
    <mergeCell ref="B2:E3"/>
    <mergeCell ref="B6:M6"/>
    <mergeCell ref="B14:C14"/>
    <mergeCell ref="E14:G14"/>
    <mergeCell ref="I14:M14"/>
  </mergeCells>
  <dataValidations count="2">
    <dataValidation type="list" allowBlank="1" showInputMessage="1" showErrorMessage="1" sqref="J16 J33:K33" xr:uid="{B40B1693-88B8-42AC-A694-C35C6A3B0029}">
      <formula1>$C$8:$C$12</formula1>
    </dataValidation>
    <dataValidation type="list" allowBlank="1" showInputMessage="1" showErrorMessage="1" sqref="M16" xr:uid="{3DFCECC4-FCE0-4E4A-9EDA-E3DF828473E8}">
      <formula1>"1,3,6,12"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E287-FCAE-4F3B-B02D-9020547F6349}">
  <dimension ref="B2:X13"/>
  <sheetViews>
    <sheetView zoomScale="70" workbookViewId="0">
      <selection activeCell="K10" sqref="K10"/>
    </sheetView>
  </sheetViews>
  <sheetFormatPr defaultRowHeight="14.4" x14ac:dyDescent="0.3"/>
  <cols>
    <col min="2" max="2" width="16.33203125" customWidth="1"/>
    <col min="3" max="3" width="11" customWidth="1"/>
    <col min="5" max="5" width="18.6640625" customWidth="1"/>
    <col min="7" max="7" width="9.77734375" customWidth="1"/>
    <col min="8" max="8" width="27.44140625" customWidth="1"/>
    <col min="9" max="9" width="10.44140625" customWidth="1"/>
    <col min="13" max="13" width="9.88671875" customWidth="1"/>
    <col min="15" max="15" width="17.6640625" customWidth="1"/>
  </cols>
  <sheetData>
    <row r="2" spans="2:24" ht="28.8" x14ac:dyDescent="0.3">
      <c r="B2" s="27" t="s">
        <v>0</v>
      </c>
      <c r="C2" s="28" t="s">
        <v>1</v>
      </c>
      <c r="D2" s="28" t="s">
        <v>2</v>
      </c>
      <c r="E2" s="28" t="s">
        <v>3</v>
      </c>
      <c r="F2" s="28" t="s">
        <v>4</v>
      </c>
      <c r="G2" s="28" t="s">
        <v>5</v>
      </c>
      <c r="H2" s="28" t="s">
        <v>6</v>
      </c>
      <c r="I2" s="29" t="s">
        <v>7</v>
      </c>
      <c r="L2" s="21" t="s">
        <v>2</v>
      </c>
      <c r="M2" s="22" t="s">
        <v>31</v>
      </c>
      <c r="N2" s="22" t="s">
        <v>29</v>
      </c>
      <c r="O2" s="41" t="s">
        <v>38</v>
      </c>
      <c r="P2" s="44" t="s">
        <v>39</v>
      </c>
      <c r="Q2" s="44" t="s">
        <v>40</v>
      </c>
      <c r="R2" s="35" t="s">
        <v>29</v>
      </c>
    </row>
    <row r="3" spans="2:24" ht="43.8" customHeight="1" x14ac:dyDescent="0.3">
      <c r="B3" s="25">
        <v>45658</v>
      </c>
      <c r="C3" s="5" t="s">
        <v>8</v>
      </c>
      <c r="D3" s="5" t="s">
        <v>9</v>
      </c>
      <c r="E3" s="5" t="s">
        <v>10</v>
      </c>
      <c r="F3" s="5">
        <v>50</v>
      </c>
      <c r="G3" s="5">
        <v>1245.5</v>
      </c>
      <c r="H3" s="5">
        <v>62275</v>
      </c>
      <c r="I3" s="26" t="s">
        <v>11</v>
      </c>
      <c r="L3" s="19" t="s">
        <v>9</v>
      </c>
      <c r="M3" s="20" t="s">
        <v>34</v>
      </c>
      <c r="N3" s="34">
        <f>R3</f>
        <v>1520</v>
      </c>
      <c r="O3" s="43">
        <v>1508</v>
      </c>
      <c r="P3" s="42">
        <v>1608</v>
      </c>
      <c r="Q3" s="42">
        <v>1217</v>
      </c>
      <c r="R3" s="36">
        <v>1520</v>
      </c>
      <c r="U3" s="2"/>
      <c r="V3" s="40"/>
      <c r="W3" s="40"/>
      <c r="X3" s="40"/>
    </row>
    <row r="4" spans="2:24" ht="57.6" x14ac:dyDescent="0.3">
      <c r="B4" s="25">
        <v>45703</v>
      </c>
      <c r="C4" s="5" t="s">
        <v>12</v>
      </c>
      <c r="D4" s="5" t="s">
        <v>13</v>
      </c>
      <c r="E4" s="5" t="s">
        <v>10</v>
      </c>
      <c r="F4" s="5">
        <v>20</v>
      </c>
      <c r="G4" s="5">
        <v>3850.25</v>
      </c>
      <c r="H4" s="5">
        <v>77005</v>
      </c>
      <c r="I4" s="26" t="s">
        <v>11</v>
      </c>
      <c r="L4" s="19" t="s">
        <v>13</v>
      </c>
      <c r="M4" s="20" t="s">
        <v>35</v>
      </c>
      <c r="N4" s="20">
        <f>R4</f>
        <v>4180</v>
      </c>
      <c r="O4" s="43">
        <v>4205</v>
      </c>
      <c r="P4" s="42">
        <v>4593</v>
      </c>
      <c r="Q4" s="42">
        <v>3311</v>
      </c>
      <c r="R4" s="36">
        <v>4180</v>
      </c>
      <c r="U4" s="4"/>
      <c r="V4" s="39"/>
      <c r="W4" s="39"/>
      <c r="X4" s="39"/>
    </row>
    <row r="5" spans="2:24" ht="43.2" x14ac:dyDescent="0.3">
      <c r="B5" s="25">
        <v>45757</v>
      </c>
      <c r="C5" s="31" t="s">
        <v>14</v>
      </c>
      <c r="D5" s="31" t="s">
        <v>15</v>
      </c>
      <c r="E5" s="31" t="s">
        <v>10</v>
      </c>
      <c r="F5" s="5">
        <v>40</v>
      </c>
      <c r="G5" s="48">
        <v>1685.75</v>
      </c>
      <c r="H5" s="5">
        <v>67430</v>
      </c>
      <c r="I5" s="26" t="s">
        <v>11</v>
      </c>
      <c r="L5" s="23" t="s">
        <v>15</v>
      </c>
      <c r="M5" s="24" t="s">
        <v>36</v>
      </c>
      <c r="N5" s="24">
        <f>R5</f>
        <v>1850</v>
      </c>
      <c r="O5" s="54">
        <v>1842</v>
      </c>
      <c r="P5" s="55">
        <v>1881</v>
      </c>
      <c r="Q5" s="55">
        <v>1363</v>
      </c>
      <c r="R5" s="36">
        <v>1850</v>
      </c>
      <c r="U5" s="4"/>
      <c r="V5" s="39"/>
      <c r="W5" s="39"/>
      <c r="X5" s="39"/>
    </row>
    <row r="6" spans="2:24" ht="57.6" x14ac:dyDescent="0.3">
      <c r="B6" s="46">
        <v>45828</v>
      </c>
      <c r="C6" s="51" t="s">
        <v>43</v>
      </c>
      <c r="D6" s="49" t="s">
        <v>42</v>
      </c>
      <c r="E6" s="49" t="s">
        <v>10</v>
      </c>
      <c r="F6" s="50">
        <v>35</v>
      </c>
      <c r="G6" s="49">
        <v>300</v>
      </c>
      <c r="H6" s="1">
        <v>10500</v>
      </c>
      <c r="I6" s="26" t="s">
        <v>11</v>
      </c>
      <c r="L6" s="51" t="s">
        <v>42</v>
      </c>
      <c r="M6" s="51" t="s">
        <v>35</v>
      </c>
      <c r="N6" s="53">
        <v>265</v>
      </c>
      <c r="O6" s="53">
        <v>268</v>
      </c>
      <c r="P6" s="53">
        <v>320</v>
      </c>
      <c r="Q6" s="53">
        <v>208</v>
      </c>
      <c r="R6" s="36">
        <v>1720</v>
      </c>
      <c r="U6" s="4"/>
      <c r="V6" s="39"/>
      <c r="W6" s="39"/>
      <c r="X6" s="39"/>
    </row>
    <row r="7" spans="2:24" ht="43.2" x14ac:dyDescent="0.3">
      <c r="B7" s="25">
        <v>45874</v>
      </c>
      <c r="C7" s="47" t="s">
        <v>16</v>
      </c>
      <c r="D7" s="47" t="s">
        <v>17</v>
      </c>
      <c r="E7" s="47" t="s">
        <v>10</v>
      </c>
      <c r="F7" s="5">
        <v>45</v>
      </c>
      <c r="G7" s="47">
        <v>1325.6</v>
      </c>
      <c r="H7" s="5">
        <v>59652</v>
      </c>
      <c r="I7" s="26" t="s">
        <v>11</v>
      </c>
      <c r="L7" s="56" t="s">
        <v>17</v>
      </c>
      <c r="M7" s="57" t="s">
        <v>36</v>
      </c>
      <c r="N7" s="57">
        <f>R7</f>
        <v>1490</v>
      </c>
      <c r="O7" s="58">
        <v>1478</v>
      </c>
      <c r="P7" s="59">
        <v>1542</v>
      </c>
      <c r="Q7" s="59">
        <v>1039</v>
      </c>
      <c r="R7" s="36">
        <v>1490</v>
      </c>
      <c r="U7" s="4"/>
      <c r="V7" s="39"/>
      <c r="W7" s="39"/>
      <c r="X7" s="39"/>
    </row>
    <row r="8" spans="2:24" ht="43.2" x14ac:dyDescent="0.3">
      <c r="B8" s="25">
        <v>45918</v>
      </c>
      <c r="C8" s="5" t="s">
        <v>8</v>
      </c>
      <c r="D8" s="5" t="s">
        <v>9</v>
      </c>
      <c r="E8" s="5" t="s">
        <v>18</v>
      </c>
      <c r="F8" s="5">
        <v>-20</v>
      </c>
      <c r="G8" s="5">
        <v>1395.8</v>
      </c>
      <c r="H8" s="5">
        <v>-27916</v>
      </c>
      <c r="I8" s="26" t="s">
        <v>11</v>
      </c>
      <c r="R8" s="2"/>
      <c r="S8" s="2"/>
      <c r="T8" s="40"/>
      <c r="U8" s="40"/>
      <c r="V8" s="40"/>
      <c r="W8" s="40"/>
    </row>
    <row r="9" spans="2:24" ht="43.2" x14ac:dyDescent="0.3">
      <c r="B9" s="25">
        <v>45942</v>
      </c>
      <c r="C9" s="31" t="s">
        <v>12</v>
      </c>
      <c r="D9" s="31" t="s">
        <v>13</v>
      </c>
      <c r="E9" s="31" t="s">
        <v>10</v>
      </c>
      <c r="F9" s="31">
        <v>10</v>
      </c>
      <c r="G9" s="31">
        <v>4120</v>
      </c>
      <c r="H9" s="31">
        <v>41200</v>
      </c>
      <c r="I9" s="26" t="s">
        <v>11</v>
      </c>
      <c r="R9" s="4"/>
      <c r="S9" s="4"/>
      <c r="T9" s="39"/>
      <c r="U9" s="39"/>
      <c r="V9" s="39"/>
      <c r="W9" s="39"/>
    </row>
    <row r="10" spans="2:24" ht="33" customHeight="1" x14ac:dyDescent="0.3">
      <c r="B10" s="46">
        <v>45969</v>
      </c>
      <c r="C10" s="49" t="s">
        <v>43</v>
      </c>
      <c r="D10" s="49" t="s">
        <v>42</v>
      </c>
      <c r="E10" s="49" t="s">
        <v>18</v>
      </c>
      <c r="F10" s="49">
        <v>-15</v>
      </c>
      <c r="G10" s="49">
        <v>280</v>
      </c>
      <c r="H10" s="49">
        <v>-4200</v>
      </c>
      <c r="I10" s="52" t="s">
        <v>11</v>
      </c>
      <c r="L10" s="2"/>
      <c r="M10" s="2"/>
      <c r="N10" s="2"/>
      <c r="O10" s="2"/>
      <c r="P10" s="40"/>
      <c r="Q10" s="40"/>
      <c r="R10" s="40"/>
      <c r="S10" s="2"/>
      <c r="T10" s="39"/>
      <c r="U10" s="39"/>
      <c r="V10" s="39"/>
      <c r="W10" s="39"/>
    </row>
    <row r="11" spans="2:24" ht="28.8" x14ac:dyDescent="0.3">
      <c r="B11" s="25">
        <v>46006</v>
      </c>
      <c r="C11" s="47" t="s">
        <v>14</v>
      </c>
      <c r="D11" s="47" t="s">
        <v>15</v>
      </c>
      <c r="E11" s="47" t="s">
        <v>10</v>
      </c>
      <c r="F11" s="47">
        <v>20</v>
      </c>
      <c r="G11" s="47">
        <v>1785.25</v>
      </c>
      <c r="H11" s="47">
        <v>35705</v>
      </c>
      <c r="I11" s="26" t="s">
        <v>11</v>
      </c>
      <c r="L11" s="3"/>
      <c r="M11" s="4"/>
      <c r="N11" s="4"/>
      <c r="O11" s="4"/>
      <c r="P11" s="39"/>
      <c r="Q11" s="39"/>
      <c r="R11" s="39"/>
      <c r="S11" s="4"/>
      <c r="T11" s="39"/>
      <c r="U11" s="39"/>
      <c r="V11" s="39"/>
      <c r="W11" s="39"/>
    </row>
    <row r="12" spans="2:24" ht="28.8" x14ac:dyDescent="0.3">
      <c r="B12" s="30">
        <v>46042</v>
      </c>
      <c r="C12" s="31" t="s">
        <v>16</v>
      </c>
      <c r="D12" s="31" t="s">
        <v>17</v>
      </c>
      <c r="E12" s="31" t="s">
        <v>18</v>
      </c>
      <c r="F12" s="31">
        <v>-10</v>
      </c>
      <c r="G12" s="31">
        <v>1475.4</v>
      </c>
      <c r="H12" s="31">
        <v>-14754</v>
      </c>
      <c r="I12" s="32" t="s">
        <v>11</v>
      </c>
      <c r="L12" s="2"/>
      <c r="M12" s="2"/>
      <c r="N12" s="40"/>
      <c r="O12" s="40"/>
      <c r="P12" s="40"/>
      <c r="Q12" s="40"/>
      <c r="R12" s="39"/>
      <c r="S12" s="4"/>
      <c r="T12" s="39"/>
      <c r="U12" s="39"/>
      <c r="V12" s="39"/>
      <c r="W12" s="39"/>
    </row>
    <row r="13" spans="2:24" x14ac:dyDescent="0.3">
      <c r="L13" s="4"/>
      <c r="M13" s="4"/>
      <c r="N13" s="39"/>
      <c r="O13" s="39"/>
      <c r="P13" s="39"/>
      <c r="Q13" s="39"/>
      <c r="R13" s="4"/>
      <c r="S13" s="4"/>
      <c r="T13" s="39"/>
      <c r="U13" s="39"/>
      <c r="V13" s="39"/>
      <c r="W13" s="39"/>
    </row>
  </sheetData>
  <dataConsolidate/>
  <phoneticPr fontId="12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D23C-72C6-41D0-A8C7-B19D920706F2}">
  <dimension ref="A1:Z1000"/>
  <sheetViews>
    <sheetView showGridLines="0" zoomScale="88" workbookViewId="0">
      <selection activeCell="P38" sqref="P38"/>
    </sheetView>
  </sheetViews>
  <sheetFormatPr defaultColWidth="14.44140625" defaultRowHeight="15" customHeight="1" x14ac:dyDescent="0.3"/>
  <cols>
    <col min="1" max="1" width="3" customWidth="1"/>
    <col min="2" max="2" width="10.88671875" customWidth="1"/>
    <col min="3" max="3" width="11.109375" customWidth="1"/>
    <col min="4" max="4" width="8.5546875" customWidth="1"/>
    <col min="5" max="5" width="12.109375" customWidth="1"/>
    <col min="6" max="6" width="37.77734375" customWidth="1"/>
    <col min="7" max="7" width="11.5546875" customWidth="1"/>
    <col min="8" max="10" width="8.88671875" customWidth="1"/>
    <col min="11" max="11" width="18.44140625" customWidth="1"/>
    <col min="12" max="12" width="22.6640625" customWidth="1"/>
    <col min="13" max="13" width="12.5546875" customWidth="1"/>
    <col min="14" max="14" width="23" customWidth="1"/>
    <col min="15" max="15" width="18.109375" customWidth="1"/>
    <col min="16" max="26" width="8.88671875" customWidth="1"/>
  </cols>
  <sheetData>
    <row r="1" spans="1:26" ht="14.25" customHeight="1" x14ac:dyDescent="0.3">
      <c r="A1" s="9"/>
      <c r="K1" s="71" t="s">
        <v>53</v>
      </c>
      <c r="L1" s="71" t="s">
        <v>0</v>
      </c>
      <c r="M1" s="71" t="s">
        <v>51</v>
      </c>
      <c r="N1" s="71" t="s">
        <v>52</v>
      </c>
    </row>
    <row r="2" spans="1:26" ht="14.25" customHeight="1" x14ac:dyDescent="0.3">
      <c r="A2" s="10"/>
      <c r="B2" s="82" t="s">
        <v>50</v>
      </c>
      <c r="C2" s="79"/>
      <c r="E2" s="82" t="s">
        <v>49</v>
      </c>
      <c r="F2" s="79"/>
      <c r="K2">
        <v>1</v>
      </c>
      <c r="L2" s="70" cm="1">
        <f t="array" ref="L2">IFERROR(
INDEX(Historical_Data[Date],
ROWS(Historical_Data[Date])-$C$5+K2),
""
)</f>
        <v>45839</v>
      </c>
      <c r="M2" s="72" cm="1">
        <f t="array" ref="M2">IFERROR(
INDEX(_xlfn.ANCHORARRAY($I$10),ROWS(_xlfn.ANCHORARRAY($I$10))-$C$5+K2),
""
)</f>
        <v>1385</v>
      </c>
      <c r="N2" s="72" cm="1">
        <f t="array" ref="N2">IFERROR(
INDEX(_xlfn.ANCHORARRAY($P$10),ROWS(_xlfn.ANCHORARRAY($P$10))-$C$5+K2),
""
)</f>
        <v>3850</v>
      </c>
    </row>
    <row r="3" spans="1:26" ht="21" customHeight="1" x14ac:dyDescent="0.3">
      <c r="A3" s="10"/>
      <c r="B3" s="68"/>
      <c r="C3" s="68"/>
      <c r="D3" s="9"/>
      <c r="E3" s="68"/>
      <c r="F3" s="68"/>
      <c r="G3" s="9"/>
      <c r="H3" s="9"/>
      <c r="I3" s="9"/>
      <c r="J3" s="9"/>
      <c r="K3" s="9">
        <v>2</v>
      </c>
      <c r="L3" s="70" cm="1">
        <f t="array" ref="L3">IFERROR(
INDEX(Historical_Data[Date],
ROWS(Historical_Data[Date])-$C$5+K3),
""
)</f>
        <v>45870</v>
      </c>
      <c r="M3" s="72" cm="1">
        <f t="array" ref="M3">IFERROR(
INDEX(_xlfn.ANCHORARRAY($I$10),ROWS(_xlfn.ANCHORARRAY($I$10))-$C$5+K3),
""
)</f>
        <v>1405</v>
      </c>
      <c r="N3" s="73" cm="1">
        <f t="array" ref="N3">IFERROR(
INDEX(_xlfn.ANCHORARRAY($P$10),ROWS(_xlfn.ANCHORARRAY($P$10))-$C$5+K3),
""
)</f>
        <v>3925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3">
      <c r="A4" s="10"/>
      <c r="B4" s="6" t="s">
        <v>48</v>
      </c>
      <c r="C4" s="67" t="str">
        <f>Dashboard!J16</f>
        <v>RELIANCE</v>
      </c>
      <c r="E4" s="6" t="s">
        <v>47</v>
      </c>
      <c r="F4" s="67" t="str" cm="1">
        <f t="array" ref="F4:G4">Dashboard!J33:K33</f>
        <v>TCS</v>
      </c>
      <c r="G4">
        <v>0</v>
      </c>
      <c r="K4">
        <v>3</v>
      </c>
      <c r="L4" s="70" cm="1">
        <f t="array" ref="L4">IFERROR(
INDEX(Historical_Data[Date],
ROWS(Historical_Data[Date])-$C$5+K4),
""
)</f>
        <v>45901</v>
      </c>
      <c r="M4" s="72" cm="1">
        <f t="array" ref="M4">IFERROR(
INDEX(_xlfn.ANCHORARRAY($I$10),ROWS(_xlfn.ANCHORARRAY($I$10))-$C$5+K4),
""
)</f>
        <v>1420</v>
      </c>
      <c r="N4" s="72" cm="1">
        <f t="array" ref="N4">IFERROR(
INDEX(_xlfn.ANCHORARRAY($P$10),ROWS(_xlfn.ANCHORARRAY($P$10))-$C$5+K4),
""
)</f>
        <v>3980</v>
      </c>
    </row>
    <row r="5" spans="1:26" ht="14.25" customHeight="1" x14ac:dyDescent="0.3">
      <c r="A5" s="9"/>
      <c r="B5" s="6" t="s">
        <v>46</v>
      </c>
      <c r="C5" s="67">
        <f>Dashboard!M16</f>
        <v>12</v>
      </c>
      <c r="E5" s="6" t="s">
        <v>46</v>
      </c>
      <c r="F5" s="67">
        <f>C5</f>
        <v>12</v>
      </c>
      <c r="K5">
        <v>4</v>
      </c>
      <c r="L5" s="70" cm="1">
        <f t="array" ref="L5">IFERROR(
INDEX(Historical_Data[Date],
ROWS(Historical_Data[Date])-$C$5+K5),
""
)</f>
        <v>45931</v>
      </c>
      <c r="M5" s="72" cm="1">
        <f t="array" ref="M5">IFERROR(
INDEX(_xlfn.ANCHORARRAY($I$10),ROWS(_xlfn.ANCHORARRAY($I$10))-$C$5+K5),
""
)</f>
        <v>1450</v>
      </c>
      <c r="N5" s="72" cm="1">
        <f t="array" ref="N5">IFERROR(
INDEX(_xlfn.ANCHORARRAY($P$10),ROWS(_xlfn.ANCHORARRAY($P$10))-$C$5+K5),
""
)</f>
        <v>4040</v>
      </c>
    </row>
    <row r="6" spans="1:26" ht="14.25" customHeight="1" x14ac:dyDescent="0.3">
      <c r="A6" s="9"/>
      <c r="K6">
        <v>5</v>
      </c>
      <c r="L6" s="70" cm="1">
        <f t="array" ref="L6">IFERROR(
INDEX(Historical_Data[Date],
ROWS(Historical_Data[Date])-$C$5+K6),
""
)</f>
        <v>45962</v>
      </c>
      <c r="M6" s="72" cm="1">
        <f t="array" ref="M6">IFERROR(
INDEX(_xlfn.ANCHORARRAY($I$10),ROWS(_xlfn.ANCHORARRAY($I$10))-$C$5+K6),
""
)</f>
        <v>1465</v>
      </c>
      <c r="N6" s="72" cm="1">
        <f t="array" ref="N6">IFERROR(
INDEX(_xlfn.ANCHORARRAY($P$10),ROWS(_xlfn.ANCHORARRAY($P$10))-$C$5+K6),
""
)</f>
        <v>4095</v>
      </c>
    </row>
    <row r="7" spans="1:26" ht="14.25" customHeight="1" x14ac:dyDescent="0.3">
      <c r="A7" s="9"/>
      <c r="B7" s="65"/>
      <c r="C7" s="65"/>
      <c r="D7" s="66"/>
      <c r="E7" s="65"/>
      <c r="F7" s="64"/>
      <c r="K7">
        <v>6</v>
      </c>
      <c r="L7" s="70" cm="1">
        <f t="array" ref="L7">IFERROR(
INDEX(Historical_Data[Date],
ROWS(Historical_Data[Date])-$C$5+K7),
""
)</f>
        <v>45992</v>
      </c>
      <c r="M7" s="72" cm="1">
        <f t="array" ref="M7">IFERROR(
INDEX(_xlfn.ANCHORARRAY($I$10),ROWS(_xlfn.ANCHORARRAY($I$10))-$C$5+K7),
""
)</f>
        <v>1480</v>
      </c>
      <c r="N7" s="72" cm="1">
        <f t="array" ref="N7">IFERROR(
INDEX(_xlfn.ANCHORARRAY($P$10),ROWS(_xlfn.ANCHORARRAY($P$10))-$C$5+K7),
""
)</f>
        <v>4140</v>
      </c>
    </row>
    <row r="8" spans="1:26" ht="14.25" customHeight="1" x14ac:dyDescent="0.3">
      <c r="A8" s="9"/>
      <c r="B8" s="9" t="e" cm="1" vm="1">
        <f t="array" aca="1" ref="B8" ca="1">_xlfn.STOCKHISTORY(C4,EDATE(TODAY(),-C5),TODAY())</f>
        <v>#VALUE!</v>
      </c>
      <c r="C8" s="61"/>
      <c r="D8" s="9"/>
      <c r="E8" s="62"/>
      <c r="F8" s="63"/>
      <c r="K8">
        <v>7</v>
      </c>
      <c r="L8" s="70" cm="1">
        <f t="array" ref="L8">IFERROR(
INDEX(Historical_Data[Date],
ROWS(Historical_Data[Date])-$C$5+K8),
""
)</f>
        <v>46023</v>
      </c>
      <c r="M8" s="72" cm="1">
        <f t="array" ref="M8">IFERROR(
INDEX(_xlfn.ANCHORARRAY($I$10),ROWS(_xlfn.ANCHORARRAY($I$10))-$C$5+K8),
""
)</f>
        <v>1495</v>
      </c>
      <c r="N8" s="72" cm="1">
        <f t="array" ref="N8">IFERROR(
INDEX(_xlfn.ANCHORARRAY($P$10),ROWS(_xlfn.ANCHORARRAY($P$10))-$C$5+K8),
""
)</f>
        <v>4170</v>
      </c>
    </row>
    <row r="9" spans="1:26" ht="14.25" customHeight="1" x14ac:dyDescent="0.3">
      <c r="A9" s="9"/>
      <c r="C9" s="61"/>
      <c r="E9" s="62"/>
      <c r="F9" s="61"/>
      <c r="K9">
        <v>8</v>
      </c>
      <c r="L9" s="70" cm="1">
        <f t="array" ref="L9">IFERROR(
INDEX(Historical_Data[Date],
ROWS(Historical_Data[Date])-$C$5+K9),
""
)</f>
        <v>46054</v>
      </c>
      <c r="M9" s="72" cm="1">
        <f t="array" ref="M9">IFERROR(
INDEX(_xlfn.ANCHORARRAY($I$10),ROWS(_xlfn.ANCHORARRAY($I$10))-$C$5+K9),
""
)</f>
        <v>1510</v>
      </c>
      <c r="N9" s="72" cm="1">
        <f t="array" ref="N9">IFERROR(
INDEX(_xlfn.ANCHORARRAY($P$10),ROWS(_xlfn.ANCHORARRAY($P$10))-$C$5+K9),
""
)</f>
        <v>4210</v>
      </c>
    </row>
    <row r="10" spans="1:26" ht="14.25" customHeight="1" x14ac:dyDescent="0.3">
      <c r="A10" s="13"/>
      <c r="B10" s="69" t="s">
        <v>0</v>
      </c>
      <c r="C10" s="41" t="s">
        <v>9</v>
      </c>
      <c r="D10" s="41" t="s">
        <v>13</v>
      </c>
      <c r="E10" s="41" t="s">
        <v>15</v>
      </c>
      <c r="F10" s="41" t="s">
        <v>42</v>
      </c>
      <c r="G10" s="41" t="s">
        <v>17</v>
      </c>
      <c r="I10" cm="1">
        <f t="array" ref="I10:I21">_xlfn.XLOOKUP(C4,Historical_Data[[#Headers],[RELIANCE]:[ICICIBANK]],Historical_Data[[RELIANCE]:[ICICIBANK]])</f>
        <v>1385</v>
      </c>
      <c r="K10">
        <v>9</v>
      </c>
      <c r="L10" s="70" cm="1">
        <f t="array" ref="L10">IFERROR(
INDEX(Historical_Data[Date],
ROWS(Historical_Data[Date])-$C$5+K10),
""
)</f>
        <v>46082</v>
      </c>
      <c r="M10" s="72" cm="1">
        <f t="array" ref="M10">IFERROR(
INDEX(_xlfn.ANCHORARRAY($I$10),ROWS(_xlfn.ANCHORARRAY($I$10))-$C$5+K10),
""
)</f>
        <v>1500</v>
      </c>
      <c r="N10" s="72" cm="1">
        <f t="array" ref="N10">IFERROR(
INDEX(_xlfn.ANCHORARRAY($P$10),ROWS(_xlfn.ANCHORARRAY($P$10))-$C$5+K10),
""
)</f>
        <v>4195</v>
      </c>
      <c r="P10" cm="1">
        <f t="array" ref="P10:P21">_xlfn.XLOOKUP(
F4,
Historical_Data[[#Headers],[RELIANCE]:[ICICIBANK]],
Historical_Data[[RELIANCE]:[ICICIBANK]]
)</f>
        <v>3850</v>
      </c>
    </row>
    <row r="11" spans="1:26" ht="14.25" customHeight="1" x14ac:dyDescent="0.3">
      <c r="A11" s="9"/>
      <c r="B11" s="3">
        <v>45839</v>
      </c>
      <c r="C11" s="39">
        <v>1385</v>
      </c>
      <c r="D11" s="39">
        <v>3850</v>
      </c>
      <c r="E11" s="39">
        <v>1680</v>
      </c>
      <c r="F11" s="39">
        <v>305</v>
      </c>
      <c r="G11" s="39">
        <v>1320</v>
      </c>
      <c r="I11">
        <v>1405</v>
      </c>
      <c r="K11">
        <v>10</v>
      </c>
      <c r="L11" s="70" cm="1">
        <f t="array" ref="L11">IFERROR(
INDEX(Historical_Data[Date],
ROWS(Historical_Data[Date])-$C$5+K11),
""
)</f>
        <v>46113</v>
      </c>
      <c r="M11" s="72" cm="1">
        <f t="array" ref="M11">IFERROR(
INDEX(_xlfn.ANCHORARRAY($I$10),ROWS(_xlfn.ANCHORARRAY($I$10))-$C$5+K11),
""
)</f>
        <v>1515</v>
      </c>
      <c r="N11" s="72" cm="1">
        <f t="array" ref="N11">IFERROR(
INDEX(_xlfn.ANCHORARRAY($P$10),ROWS(_xlfn.ANCHORARRAY($P$10))-$C$5+K11),
""
)</f>
        <v>4215</v>
      </c>
      <c r="P11">
        <v>3925</v>
      </c>
    </row>
    <row r="12" spans="1:26" ht="14.25" customHeight="1" x14ac:dyDescent="0.3">
      <c r="A12" s="9"/>
      <c r="B12" s="3">
        <v>45870</v>
      </c>
      <c r="C12" s="39">
        <v>1405</v>
      </c>
      <c r="D12" s="39">
        <v>3925</v>
      </c>
      <c r="E12" s="39">
        <v>1705</v>
      </c>
      <c r="F12" s="39">
        <v>298</v>
      </c>
      <c r="G12" s="39">
        <v>1345</v>
      </c>
      <c r="I12">
        <v>1420</v>
      </c>
      <c r="K12">
        <v>11</v>
      </c>
      <c r="L12" s="70" cm="1">
        <f t="array" ref="L12">IFERROR(
INDEX(Historical_Data[Date],
ROWS(Historical_Data[Date])-$C$5+K12),
""
)</f>
        <v>46143</v>
      </c>
      <c r="M12" s="72" cm="1">
        <f t="array" ref="M12">IFERROR(
INDEX(_xlfn.ANCHORARRAY($I$10),ROWS(_xlfn.ANCHORARRAY($I$10))-$C$5+K12),
""
)</f>
        <v>1518</v>
      </c>
      <c r="N12" s="72" cm="1">
        <f t="array" ref="N12">IFERROR(
INDEX(_xlfn.ANCHORARRAY($P$10),ROWS(_xlfn.ANCHORARRAY($P$10))-$C$5+K12),
""
)</f>
        <v>4190</v>
      </c>
      <c r="P12">
        <v>3980</v>
      </c>
    </row>
    <row r="13" spans="1:26" ht="14.25" customHeight="1" x14ac:dyDescent="0.3">
      <c r="A13" s="9"/>
      <c r="B13" s="3">
        <v>45901</v>
      </c>
      <c r="C13" s="39">
        <v>1420</v>
      </c>
      <c r="D13" s="39">
        <v>3980</v>
      </c>
      <c r="E13" s="39">
        <v>1725</v>
      </c>
      <c r="F13" s="39">
        <v>294</v>
      </c>
      <c r="G13" s="39">
        <v>1360</v>
      </c>
      <c r="I13">
        <v>1450</v>
      </c>
      <c r="K13">
        <v>12</v>
      </c>
      <c r="L13" s="70" cm="1">
        <f t="array" ref="L13">IFERROR(
INDEX(Historical_Data[Date],
ROWS(Historical_Data[Date])-$C$5+K13),
""
)</f>
        <v>46174</v>
      </c>
      <c r="M13" s="72" cm="1">
        <f t="array" ref="M13">IFERROR(
INDEX(_xlfn.ANCHORARRAY($I$10),ROWS(_xlfn.ANCHORARRAY($I$10))-$C$5+K13),
""
)</f>
        <v>1520</v>
      </c>
      <c r="N13" s="72" cm="1">
        <f t="array" ref="N13">IFERROR(
INDEX(_xlfn.ANCHORARRAY($P$10),ROWS(_xlfn.ANCHORARRAY($P$10))-$C$5+K13),
""
)</f>
        <v>4180</v>
      </c>
      <c r="P13">
        <v>4040</v>
      </c>
    </row>
    <row r="14" spans="1:26" ht="14.25" customHeight="1" x14ac:dyDescent="0.3">
      <c r="A14" s="9"/>
      <c r="B14" s="3">
        <v>45931</v>
      </c>
      <c r="C14" s="39">
        <v>1450</v>
      </c>
      <c r="D14" s="39">
        <v>4040</v>
      </c>
      <c r="E14" s="39">
        <v>1750</v>
      </c>
      <c r="F14" s="39">
        <v>290</v>
      </c>
      <c r="G14" s="39">
        <v>1385</v>
      </c>
      <c r="I14">
        <v>1465</v>
      </c>
      <c r="P14">
        <v>4095</v>
      </c>
    </row>
    <row r="15" spans="1:26" ht="14.25" customHeight="1" x14ac:dyDescent="0.3">
      <c r="A15" s="9"/>
      <c r="B15" s="3">
        <v>45962</v>
      </c>
      <c r="C15" s="39">
        <v>1465</v>
      </c>
      <c r="D15" s="39">
        <v>4095</v>
      </c>
      <c r="E15" s="39">
        <v>1775</v>
      </c>
      <c r="F15" s="39">
        <v>286</v>
      </c>
      <c r="G15" s="39">
        <v>1405</v>
      </c>
      <c r="I15">
        <v>1480</v>
      </c>
      <c r="P15">
        <v>4140</v>
      </c>
    </row>
    <row r="16" spans="1:26" ht="14.25" customHeight="1" x14ac:dyDescent="0.3">
      <c r="A16" s="9"/>
      <c r="B16" s="3">
        <v>45992</v>
      </c>
      <c r="C16" s="39">
        <v>1480</v>
      </c>
      <c r="D16" s="39">
        <v>4140</v>
      </c>
      <c r="E16" s="39">
        <v>1790</v>
      </c>
      <c r="F16" s="39">
        <v>282</v>
      </c>
      <c r="G16" s="39">
        <v>1425</v>
      </c>
      <c r="I16">
        <v>1495</v>
      </c>
      <c r="P16">
        <v>4170</v>
      </c>
    </row>
    <row r="17" spans="1:16" ht="14.25" customHeight="1" x14ac:dyDescent="0.3">
      <c r="A17" s="9"/>
      <c r="B17" s="3">
        <v>46023</v>
      </c>
      <c r="C17" s="39">
        <v>1495</v>
      </c>
      <c r="D17" s="39">
        <v>4170</v>
      </c>
      <c r="E17" s="39">
        <v>1810</v>
      </c>
      <c r="F17" s="39">
        <v>278</v>
      </c>
      <c r="G17" s="39">
        <v>1440</v>
      </c>
      <c r="I17">
        <v>1510</v>
      </c>
      <c r="P17">
        <v>4210</v>
      </c>
    </row>
    <row r="18" spans="1:16" ht="14.25" customHeight="1" x14ac:dyDescent="0.3">
      <c r="A18" s="9"/>
      <c r="B18" s="3">
        <v>46054</v>
      </c>
      <c r="C18" s="39">
        <v>1510</v>
      </c>
      <c r="D18" s="39">
        <v>4210</v>
      </c>
      <c r="E18" s="39">
        <v>1825</v>
      </c>
      <c r="F18" s="39">
        <v>275</v>
      </c>
      <c r="G18" s="39">
        <v>1455</v>
      </c>
      <c r="I18">
        <v>1500</v>
      </c>
      <c r="P18">
        <v>4195</v>
      </c>
    </row>
    <row r="19" spans="1:16" ht="14.25" customHeight="1" x14ac:dyDescent="0.3">
      <c r="A19" s="9"/>
      <c r="B19" s="3">
        <v>46082</v>
      </c>
      <c r="C19" s="39">
        <v>1500</v>
      </c>
      <c r="D19" s="39">
        <v>4195</v>
      </c>
      <c r="E19" s="39">
        <v>1815</v>
      </c>
      <c r="F19" s="39">
        <v>272</v>
      </c>
      <c r="G19" s="39">
        <v>1445</v>
      </c>
      <c r="I19">
        <v>1515</v>
      </c>
      <c r="P19">
        <v>4215</v>
      </c>
    </row>
    <row r="20" spans="1:16" ht="14.25" customHeight="1" x14ac:dyDescent="0.3">
      <c r="A20" s="9"/>
      <c r="B20" s="3">
        <v>46113</v>
      </c>
      <c r="C20" s="39">
        <v>1515</v>
      </c>
      <c r="D20" s="39">
        <v>4215</v>
      </c>
      <c r="E20" s="39">
        <v>1830</v>
      </c>
      <c r="F20" s="39">
        <v>270</v>
      </c>
      <c r="G20" s="39">
        <v>1460</v>
      </c>
      <c r="I20">
        <v>1518</v>
      </c>
      <c r="P20">
        <v>4190</v>
      </c>
    </row>
    <row r="21" spans="1:16" ht="14.25" customHeight="1" x14ac:dyDescent="0.3">
      <c r="A21" s="9"/>
      <c r="B21" s="3">
        <v>46143</v>
      </c>
      <c r="C21" s="39">
        <v>1518</v>
      </c>
      <c r="D21" s="39">
        <v>4190</v>
      </c>
      <c r="E21" s="39">
        <v>1840</v>
      </c>
      <c r="F21" s="39">
        <v>268</v>
      </c>
      <c r="G21" s="39">
        <v>1475</v>
      </c>
      <c r="I21">
        <v>1520</v>
      </c>
      <c r="P21">
        <v>4180</v>
      </c>
    </row>
    <row r="22" spans="1:16" ht="14.25" customHeight="1" x14ac:dyDescent="0.3">
      <c r="A22" s="9"/>
      <c r="B22" s="3">
        <v>46174</v>
      </c>
      <c r="C22" s="39">
        <v>1520</v>
      </c>
      <c r="D22" s="39">
        <v>4180</v>
      </c>
      <c r="E22" s="39">
        <v>1850</v>
      </c>
      <c r="F22" s="39">
        <v>265</v>
      </c>
      <c r="G22" s="39">
        <v>1490</v>
      </c>
    </row>
    <row r="23" spans="1:16" ht="14.25" customHeight="1" x14ac:dyDescent="0.3">
      <c r="A23" s="9"/>
      <c r="C23" s="61"/>
      <c r="E23" s="62"/>
      <c r="F23" s="61"/>
    </row>
    <row r="24" spans="1:16" ht="14.25" customHeight="1" x14ac:dyDescent="0.3">
      <c r="A24" s="9"/>
      <c r="C24" s="61"/>
      <c r="E24" s="62"/>
      <c r="F24" s="61"/>
    </row>
    <row r="25" spans="1:16" ht="14.25" customHeight="1" x14ac:dyDescent="0.3">
      <c r="A25" s="9"/>
      <c r="C25" s="61"/>
      <c r="E25" s="62"/>
      <c r="F25" s="61"/>
    </row>
    <row r="26" spans="1:16" ht="14.25" customHeight="1" x14ac:dyDescent="0.3">
      <c r="A26" s="9"/>
      <c r="C26" s="61"/>
      <c r="E26" s="62"/>
      <c r="F26" s="61"/>
    </row>
    <row r="27" spans="1:16" ht="14.25" customHeight="1" x14ac:dyDescent="0.3">
      <c r="A27" s="9"/>
      <c r="C27" s="61"/>
      <c r="E27" s="62"/>
      <c r="F27" s="61"/>
    </row>
    <row r="28" spans="1:16" ht="14.25" customHeight="1" x14ac:dyDescent="0.3">
      <c r="A28" s="9"/>
      <c r="C28" s="61"/>
      <c r="E28" s="62"/>
      <c r="F28" s="61"/>
    </row>
    <row r="29" spans="1:16" ht="14.25" customHeight="1" x14ac:dyDescent="0.3">
      <c r="A29" s="9"/>
      <c r="C29" s="61"/>
      <c r="E29" s="62"/>
      <c r="F29" s="61"/>
    </row>
    <row r="30" spans="1:16" ht="14.25" customHeight="1" x14ac:dyDescent="0.3">
      <c r="A30" s="9"/>
      <c r="C30" s="61"/>
      <c r="E30" s="62"/>
      <c r="F30" s="61"/>
    </row>
    <row r="31" spans="1:16" ht="14.25" customHeight="1" x14ac:dyDescent="0.3">
      <c r="A31" s="9"/>
      <c r="C31" s="61"/>
      <c r="E31" s="62"/>
      <c r="F31" s="61"/>
    </row>
    <row r="32" spans="1:16" ht="14.25" customHeight="1" x14ac:dyDescent="0.3">
      <c r="A32" s="9"/>
      <c r="C32" s="61"/>
      <c r="E32" s="62"/>
      <c r="F32" s="61"/>
    </row>
    <row r="33" spans="1:6" ht="14.25" customHeight="1" x14ac:dyDescent="0.3">
      <c r="A33" s="9"/>
      <c r="C33" s="61"/>
      <c r="E33" s="62"/>
      <c r="F33" s="61"/>
    </row>
    <row r="34" spans="1:6" ht="14.25" customHeight="1" x14ac:dyDescent="0.3">
      <c r="A34" s="9"/>
      <c r="C34" s="61"/>
      <c r="E34" s="62"/>
      <c r="F34" s="61"/>
    </row>
    <row r="35" spans="1:6" ht="14.25" customHeight="1" x14ac:dyDescent="0.3">
      <c r="A35" s="9"/>
      <c r="C35" s="61"/>
      <c r="E35" s="62"/>
      <c r="F35" s="61"/>
    </row>
    <row r="36" spans="1:6" ht="14.25" customHeight="1" x14ac:dyDescent="0.3">
      <c r="A36" s="9"/>
      <c r="C36" s="61"/>
      <c r="E36" s="62"/>
      <c r="F36" s="61"/>
    </row>
    <row r="37" spans="1:6" ht="14.25" customHeight="1" x14ac:dyDescent="0.3">
      <c r="A37" s="9"/>
      <c r="C37" s="61"/>
      <c r="E37" s="62"/>
      <c r="F37" s="61"/>
    </row>
    <row r="38" spans="1:6" ht="14.25" customHeight="1" x14ac:dyDescent="0.3">
      <c r="A38" s="9"/>
      <c r="C38" s="61"/>
      <c r="E38" s="62"/>
      <c r="F38" s="61"/>
    </row>
    <row r="39" spans="1:6" ht="14.25" customHeight="1" x14ac:dyDescent="0.3">
      <c r="A39" s="9"/>
      <c r="C39" s="61"/>
      <c r="E39" s="62"/>
      <c r="F39" s="61"/>
    </row>
    <row r="40" spans="1:6" ht="14.25" customHeight="1" x14ac:dyDescent="0.3">
      <c r="A40" s="9"/>
      <c r="C40" s="61"/>
      <c r="E40" s="62"/>
      <c r="F40" s="61"/>
    </row>
    <row r="41" spans="1:6" ht="14.25" customHeight="1" x14ac:dyDescent="0.3">
      <c r="A41" s="9"/>
      <c r="C41" s="61"/>
      <c r="E41" s="62"/>
      <c r="F41" s="61"/>
    </row>
    <row r="42" spans="1:6" ht="14.25" customHeight="1" x14ac:dyDescent="0.3">
      <c r="A42" s="9"/>
      <c r="C42" s="61"/>
      <c r="E42" s="62"/>
      <c r="F42" s="61"/>
    </row>
    <row r="43" spans="1:6" ht="14.25" customHeight="1" x14ac:dyDescent="0.3">
      <c r="A43" s="9"/>
      <c r="C43" s="61"/>
      <c r="E43" s="62"/>
      <c r="F43" s="61"/>
    </row>
    <row r="44" spans="1:6" ht="14.25" customHeight="1" x14ac:dyDescent="0.3">
      <c r="A44" s="9"/>
      <c r="C44" s="61"/>
      <c r="E44" s="62"/>
      <c r="F44" s="61"/>
    </row>
    <row r="45" spans="1:6" ht="14.25" customHeight="1" x14ac:dyDescent="0.3">
      <c r="A45" s="9"/>
      <c r="C45" s="61"/>
      <c r="E45" s="62"/>
      <c r="F45" s="61"/>
    </row>
    <row r="46" spans="1:6" ht="14.25" customHeight="1" x14ac:dyDescent="0.3">
      <c r="A46" s="9"/>
      <c r="C46" s="61"/>
      <c r="E46" s="62"/>
      <c r="F46" s="61"/>
    </row>
    <row r="47" spans="1:6" ht="14.25" customHeight="1" x14ac:dyDescent="0.3">
      <c r="A47" s="9"/>
      <c r="C47" s="61"/>
      <c r="E47" s="62"/>
      <c r="F47" s="61"/>
    </row>
    <row r="48" spans="1:6" ht="14.25" customHeight="1" x14ac:dyDescent="0.3">
      <c r="A48" s="9"/>
      <c r="C48" s="61"/>
      <c r="E48" s="62"/>
      <c r="F48" s="61"/>
    </row>
    <row r="49" spans="1:6" ht="14.25" customHeight="1" x14ac:dyDescent="0.3">
      <c r="A49" s="9"/>
      <c r="C49" s="61"/>
      <c r="E49" s="62"/>
      <c r="F49" s="61"/>
    </row>
    <row r="50" spans="1:6" ht="14.25" customHeight="1" x14ac:dyDescent="0.3">
      <c r="A50" s="9"/>
      <c r="C50" s="61"/>
      <c r="E50" s="62"/>
      <c r="F50" s="61"/>
    </row>
    <row r="51" spans="1:6" ht="14.25" customHeight="1" x14ac:dyDescent="0.3">
      <c r="A51" s="9"/>
      <c r="C51" s="61"/>
      <c r="E51" s="62"/>
      <c r="F51" s="61"/>
    </row>
    <row r="52" spans="1:6" ht="14.25" customHeight="1" x14ac:dyDescent="0.3">
      <c r="A52" s="9"/>
      <c r="C52" s="61"/>
      <c r="E52" s="62"/>
      <c r="F52" s="61"/>
    </row>
    <row r="53" spans="1:6" ht="14.25" customHeight="1" x14ac:dyDescent="0.3">
      <c r="A53" s="9"/>
      <c r="C53" s="61"/>
      <c r="E53" s="62"/>
      <c r="F53" s="61"/>
    </row>
    <row r="54" spans="1:6" ht="14.25" customHeight="1" x14ac:dyDescent="0.3">
      <c r="A54" s="9"/>
      <c r="C54" s="61"/>
      <c r="E54" s="62"/>
      <c r="F54" s="61"/>
    </row>
    <row r="55" spans="1:6" ht="14.25" customHeight="1" x14ac:dyDescent="0.3">
      <c r="A55" s="9"/>
      <c r="C55" s="61"/>
      <c r="E55" s="62"/>
      <c r="F55" s="61"/>
    </row>
    <row r="56" spans="1:6" ht="14.25" customHeight="1" x14ac:dyDescent="0.3">
      <c r="A56" s="9"/>
      <c r="C56" s="61"/>
      <c r="E56" s="62"/>
      <c r="F56" s="61"/>
    </row>
    <row r="57" spans="1:6" ht="14.25" customHeight="1" x14ac:dyDescent="0.3">
      <c r="A57" s="9"/>
      <c r="C57" s="61"/>
      <c r="E57" s="62"/>
      <c r="F57" s="61"/>
    </row>
    <row r="58" spans="1:6" ht="14.25" customHeight="1" x14ac:dyDescent="0.3">
      <c r="A58" s="9"/>
      <c r="C58" s="61"/>
      <c r="E58" s="62"/>
      <c r="F58" s="61"/>
    </row>
    <row r="59" spans="1:6" ht="14.25" customHeight="1" x14ac:dyDescent="0.3">
      <c r="A59" s="9"/>
      <c r="C59" s="61"/>
      <c r="E59" s="62"/>
      <c r="F59" s="61"/>
    </row>
    <row r="60" spans="1:6" ht="14.25" customHeight="1" x14ac:dyDescent="0.3">
      <c r="A60" s="9"/>
      <c r="C60" s="61"/>
      <c r="E60" s="62"/>
      <c r="F60" s="61"/>
    </row>
    <row r="61" spans="1:6" ht="14.25" customHeight="1" x14ac:dyDescent="0.3">
      <c r="A61" s="9"/>
      <c r="C61" s="61"/>
      <c r="E61" s="62"/>
      <c r="F61" s="61"/>
    </row>
    <row r="62" spans="1:6" ht="14.25" customHeight="1" x14ac:dyDescent="0.3">
      <c r="A62" s="9"/>
      <c r="C62" s="61"/>
      <c r="E62" s="62"/>
      <c r="F62" s="61"/>
    </row>
    <row r="63" spans="1:6" ht="14.25" customHeight="1" x14ac:dyDescent="0.3">
      <c r="A63" s="9"/>
      <c r="C63" s="61"/>
      <c r="E63" s="62"/>
      <c r="F63" s="61"/>
    </row>
    <row r="64" spans="1:6" ht="14.25" customHeight="1" x14ac:dyDescent="0.3">
      <c r="A64" s="9"/>
      <c r="C64" s="61"/>
      <c r="E64" s="62"/>
      <c r="F64" s="61"/>
    </row>
    <row r="65" spans="1:6" ht="14.25" customHeight="1" x14ac:dyDescent="0.3">
      <c r="A65" s="9"/>
      <c r="C65" s="61"/>
      <c r="E65" s="62"/>
      <c r="F65" s="61"/>
    </row>
    <row r="66" spans="1:6" ht="14.25" customHeight="1" x14ac:dyDescent="0.3">
      <c r="A66" s="9"/>
      <c r="C66" s="61"/>
      <c r="E66" s="62"/>
      <c r="F66" s="61"/>
    </row>
    <row r="67" spans="1:6" ht="14.25" customHeight="1" x14ac:dyDescent="0.3">
      <c r="A67" s="9"/>
      <c r="C67" s="61"/>
      <c r="E67" s="62"/>
      <c r="F67" s="61"/>
    </row>
    <row r="68" spans="1:6" ht="14.25" customHeight="1" x14ac:dyDescent="0.3">
      <c r="A68" s="9"/>
      <c r="C68" s="61"/>
      <c r="E68" s="62"/>
      <c r="F68" s="61"/>
    </row>
    <row r="69" spans="1:6" ht="14.25" customHeight="1" x14ac:dyDescent="0.3">
      <c r="A69" s="9"/>
      <c r="C69" s="61"/>
      <c r="E69" s="62"/>
      <c r="F69" s="61"/>
    </row>
    <row r="70" spans="1:6" ht="14.25" customHeight="1" x14ac:dyDescent="0.3">
      <c r="A70" s="9"/>
      <c r="C70" s="61"/>
      <c r="E70" s="62"/>
      <c r="F70" s="61"/>
    </row>
    <row r="71" spans="1:6" ht="14.25" customHeight="1" x14ac:dyDescent="0.3">
      <c r="A71" s="9"/>
      <c r="C71" s="61"/>
      <c r="E71" s="62"/>
      <c r="F71" s="61"/>
    </row>
    <row r="72" spans="1:6" ht="14.25" customHeight="1" x14ac:dyDescent="0.3">
      <c r="A72" s="9"/>
      <c r="C72" s="61"/>
      <c r="E72" s="62"/>
      <c r="F72" s="61"/>
    </row>
    <row r="73" spans="1:6" ht="14.25" customHeight="1" x14ac:dyDescent="0.3">
      <c r="A73" s="9"/>
      <c r="C73" s="61"/>
      <c r="E73" s="62"/>
      <c r="F73" s="61"/>
    </row>
    <row r="74" spans="1:6" ht="14.25" customHeight="1" x14ac:dyDescent="0.3">
      <c r="A74" s="9"/>
      <c r="C74" s="61"/>
      <c r="E74" s="62"/>
      <c r="F74" s="61"/>
    </row>
    <row r="75" spans="1:6" ht="14.25" customHeight="1" x14ac:dyDescent="0.3">
      <c r="A75" s="9"/>
      <c r="C75" s="61"/>
      <c r="E75" s="62"/>
      <c r="F75" s="61"/>
    </row>
    <row r="76" spans="1:6" ht="14.25" customHeight="1" x14ac:dyDescent="0.3">
      <c r="A76" s="9"/>
      <c r="C76" s="61"/>
      <c r="E76" s="62"/>
      <c r="F76" s="61"/>
    </row>
    <row r="77" spans="1:6" ht="14.25" customHeight="1" x14ac:dyDescent="0.3">
      <c r="A77" s="9"/>
      <c r="C77" s="61"/>
      <c r="E77" s="62"/>
      <c r="F77" s="61"/>
    </row>
    <row r="78" spans="1:6" ht="14.25" customHeight="1" x14ac:dyDescent="0.3">
      <c r="A78" s="9"/>
      <c r="C78" s="61"/>
      <c r="E78" s="62"/>
      <c r="F78" s="61"/>
    </row>
    <row r="79" spans="1:6" ht="14.25" customHeight="1" x14ac:dyDescent="0.3">
      <c r="A79" s="9"/>
      <c r="C79" s="61"/>
      <c r="E79" s="62"/>
      <c r="F79" s="61"/>
    </row>
    <row r="80" spans="1:6" ht="14.25" customHeight="1" x14ac:dyDescent="0.3">
      <c r="A80" s="9"/>
      <c r="C80" s="61"/>
      <c r="E80" s="62"/>
      <c r="F80" s="61"/>
    </row>
    <row r="81" spans="1:6" ht="14.25" customHeight="1" x14ac:dyDescent="0.3">
      <c r="A81" s="9"/>
      <c r="C81" s="61"/>
      <c r="E81" s="62"/>
      <c r="F81" s="61"/>
    </row>
    <row r="82" spans="1:6" ht="14.25" customHeight="1" x14ac:dyDescent="0.3">
      <c r="A82" s="9"/>
      <c r="C82" s="61"/>
      <c r="E82" s="62"/>
      <c r="F82" s="61"/>
    </row>
    <row r="83" spans="1:6" ht="14.25" customHeight="1" x14ac:dyDescent="0.3">
      <c r="A83" s="9"/>
      <c r="C83" s="61"/>
      <c r="E83" s="62"/>
      <c r="F83" s="61"/>
    </row>
    <row r="84" spans="1:6" ht="14.25" customHeight="1" x14ac:dyDescent="0.3">
      <c r="A84" s="9"/>
      <c r="C84" s="61"/>
      <c r="E84" s="62"/>
      <c r="F84" s="61"/>
    </row>
    <row r="85" spans="1:6" ht="14.25" customHeight="1" x14ac:dyDescent="0.3">
      <c r="A85" s="9"/>
      <c r="C85" s="61"/>
      <c r="E85" s="62"/>
      <c r="F85" s="61"/>
    </row>
    <row r="86" spans="1:6" ht="14.25" customHeight="1" x14ac:dyDescent="0.3">
      <c r="A86" s="9"/>
      <c r="C86" s="61"/>
      <c r="E86" s="62"/>
      <c r="F86" s="61"/>
    </row>
    <row r="87" spans="1:6" ht="14.25" customHeight="1" x14ac:dyDescent="0.3">
      <c r="A87" s="9"/>
      <c r="C87" s="61"/>
      <c r="E87" s="62"/>
      <c r="F87" s="61"/>
    </row>
    <row r="88" spans="1:6" ht="14.25" customHeight="1" x14ac:dyDescent="0.3">
      <c r="A88" s="9"/>
      <c r="C88" s="61"/>
      <c r="E88" s="62"/>
      <c r="F88" s="61"/>
    </row>
    <row r="89" spans="1:6" ht="14.25" customHeight="1" x14ac:dyDescent="0.3">
      <c r="A89" s="9"/>
      <c r="C89" s="61"/>
      <c r="E89" s="62"/>
      <c r="F89" s="61"/>
    </row>
    <row r="90" spans="1:6" ht="14.25" customHeight="1" x14ac:dyDescent="0.3">
      <c r="A90" s="9"/>
      <c r="C90" s="61"/>
      <c r="E90" s="62"/>
      <c r="F90" s="61"/>
    </row>
    <row r="91" spans="1:6" ht="14.25" customHeight="1" x14ac:dyDescent="0.3">
      <c r="A91" s="9"/>
      <c r="C91" s="61"/>
      <c r="E91" s="62"/>
      <c r="F91" s="61"/>
    </row>
    <row r="92" spans="1:6" ht="14.25" customHeight="1" x14ac:dyDescent="0.3">
      <c r="A92" s="9"/>
      <c r="C92" s="61"/>
      <c r="E92" s="62"/>
      <c r="F92" s="61"/>
    </row>
    <row r="93" spans="1:6" ht="14.25" customHeight="1" x14ac:dyDescent="0.3">
      <c r="A93" s="9"/>
      <c r="C93" s="61"/>
      <c r="E93" s="62"/>
      <c r="F93" s="61"/>
    </row>
    <row r="94" spans="1:6" ht="14.25" customHeight="1" x14ac:dyDescent="0.3">
      <c r="A94" s="9"/>
      <c r="C94" s="61"/>
      <c r="E94" s="62"/>
      <c r="F94" s="61"/>
    </row>
    <row r="95" spans="1:6" ht="14.25" customHeight="1" x14ac:dyDescent="0.3">
      <c r="A95" s="9"/>
      <c r="C95" s="61"/>
      <c r="E95" s="62"/>
      <c r="F95" s="61"/>
    </row>
    <row r="96" spans="1:6" ht="14.25" customHeight="1" x14ac:dyDescent="0.3">
      <c r="A96" s="9"/>
      <c r="C96" s="61"/>
      <c r="E96" s="62"/>
      <c r="F96" s="61"/>
    </row>
    <row r="97" spans="1:6" ht="14.25" customHeight="1" x14ac:dyDescent="0.3">
      <c r="A97" s="9"/>
      <c r="C97" s="61"/>
      <c r="E97" s="62"/>
      <c r="F97" s="61"/>
    </row>
    <row r="98" spans="1:6" ht="14.25" customHeight="1" x14ac:dyDescent="0.3">
      <c r="A98" s="9"/>
      <c r="C98" s="61"/>
      <c r="E98" s="62"/>
      <c r="F98" s="61"/>
    </row>
    <row r="99" spans="1:6" ht="14.25" customHeight="1" x14ac:dyDescent="0.3">
      <c r="A99" s="9"/>
      <c r="C99" s="61"/>
      <c r="E99" s="62"/>
      <c r="F99" s="61"/>
    </row>
    <row r="100" spans="1:6" ht="14.25" customHeight="1" x14ac:dyDescent="0.3">
      <c r="A100" s="9"/>
      <c r="C100" s="61"/>
      <c r="E100" s="62"/>
      <c r="F100" s="61"/>
    </row>
    <row r="101" spans="1:6" ht="14.25" customHeight="1" x14ac:dyDescent="0.3">
      <c r="A101" s="9"/>
      <c r="C101" s="61"/>
      <c r="E101" s="62"/>
      <c r="F101" s="61"/>
    </row>
    <row r="102" spans="1:6" ht="14.25" customHeight="1" x14ac:dyDescent="0.3">
      <c r="A102" s="9"/>
      <c r="C102" s="61"/>
      <c r="E102" s="62"/>
      <c r="F102" s="61"/>
    </row>
    <row r="103" spans="1:6" ht="14.25" customHeight="1" x14ac:dyDescent="0.3">
      <c r="A103" s="9"/>
      <c r="C103" s="61"/>
      <c r="E103" s="62"/>
      <c r="F103" s="61"/>
    </row>
    <row r="104" spans="1:6" ht="14.25" customHeight="1" x14ac:dyDescent="0.3">
      <c r="A104" s="9"/>
      <c r="C104" s="61"/>
      <c r="E104" s="62"/>
      <c r="F104" s="61"/>
    </row>
    <row r="105" spans="1:6" ht="14.25" customHeight="1" x14ac:dyDescent="0.3">
      <c r="A105" s="9"/>
      <c r="C105" s="61"/>
      <c r="E105" s="62"/>
      <c r="F105" s="61"/>
    </row>
    <row r="106" spans="1:6" ht="14.25" customHeight="1" x14ac:dyDescent="0.3">
      <c r="A106" s="9"/>
      <c r="C106" s="61"/>
      <c r="E106" s="62"/>
      <c r="F106" s="61"/>
    </row>
    <row r="107" spans="1:6" ht="14.25" customHeight="1" x14ac:dyDescent="0.3">
      <c r="A107" s="9"/>
      <c r="C107" s="61"/>
      <c r="E107" s="62"/>
      <c r="F107" s="61"/>
    </row>
    <row r="108" spans="1:6" ht="14.25" customHeight="1" x14ac:dyDescent="0.3">
      <c r="A108" s="9"/>
      <c r="C108" s="61"/>
      <c r="E108" s="62"/>
      <c r="F108" s="61"/>
    </row>
    <row r="109" spans="1:6" ht="14.25" customHeight="1" x14ac:dyDescent="0.3">
      <c r="A109" s="9"/>
      <c r="C109" s="61"/>
      <c r="E109" s="62"/>
      <c r="F109" s="61"/>
    </row>
    <row r="110" spans="1:6" ht="14.25" customHeight="1" x14ac:dyDescent="0.3">
      <c r="A110" s="9"/>
      <c r="C110" s="61"/>
      <c r="E110" s="62"/>
      <c r="F110" s="61"/>
    </row>
    <row r="111" spans="1:6" ht="14.25" customHeight="1" x14ac:dyDescent="0.3">
      <c r="A111" s="9"/>
      <c r="C111" s="61"/>
      <c r="E111" s="62"/>
      <c r="F111" s="61"/>
    </row>
    <row r="112" spans="1:6" ht="14.25" customHeight="1" x14ac:dyDescent="0.3">
      <c r="A112" s="9"/>
      <c r="C112" s="61"/>
      <c r="E112" s="62"/>
      <c r="F112" s="61"/>
    </row>
    <row r="113" spans="1:6" ht="14.25" customHeight="1" x14ac:dyDescent="0.3">
      <c r="A113" s="9"/>
      <c r="C113" s="61"/>
      <c r="E113" s="62"/>
      <c r="F113" s="61"/>
    </row>
    <row r="114" spans="1:6" ht="14.25" customHeight="1" x14ac:dyDescent="0.3">
      <c r="A114" s="9"/>
      <c r="C114" s="61"/>
      <c r="E114" s="62"/>
      <c r="F114" s="61"/>
    </row>
    <row r="115" spans="1:6" ht="14.25" customHeight="1" x14ac:dyDescent="0.3">
      <c r="A115" s="9"/>
      <c r="C115" s="61"/>
      <c r="E115" s="62"/>
      <c r="F115" s="61"/>
    </row>
    <row r="116" spans="1:6" ht="14.25" customHeight="1" x14ac:dyDescent="0.3">
      <c r="A116" s="9"/>
      <c r="C116" s="61"/>
      <c r="E116" s="62"/>
      <c r="F116" s="61"/>
    </row>
    <row r="117" spans="1:6" ht="14.25" customHeight="1" x14ac:dyDescent="0.3">
      <c r="A117" s="9"/>
      <c r="C117" s="61"/>
      <c r="E117" s="62"/>
      <c r="F117" s="61"/>
    </row>
    <row r="118" spans="1:6" ht="14.25" customHeight="1" x14ac:dyDescent="0.3">
      <c r="A118" s="9"/>
      <c r="C118" s="61"/>
      <c r="E118" s="62"/>
      <c r="F118" s="61"/>
    </row>
    <row r="119" spans="1:6" ht="14.25" customHeight="1" x14ac:dyDescent="0.3">
      <c r="A119" s="9"/>
      <c r="C119" s="61"/>
      <c r="E119" s="62"/>
      <c r="F119" s="61"/>
    </row>
    <row r="120" spans="1:6" ht="14.25" customHeight="1" x14ac:dyDescent="0.3">
      <c r="A120" s="9"/>
      <c r="C120" s="61"/>
      <c r="E120" s="62"/>
      <c r="F120" s="61"/>
    </row>
    <row r="121" spans="1:6" ht="14.25" customHeight="1" x14ac:dyDescent="0.3">
      <c r="A121" s="9"/>
      <c r="C121" s="61"/>
      <c r="E121" s="62"/>
      <c r="F121" s="61"/>
    </row>
    <row r="122" spans="1:6" ht="14.25" customHeight="1" x14ac:dyDescent="0.3">
      <c r="A122" s="9"/>
      <c r="C122" s="61"/>
      <c r="E122" s="62"/>
      <c r="F122" s="61"/>
    </row>
    <row r="123" spans="1:6" ht="14.25" customHeight="1" x14ac:dyDescent="0.3">
      <c r="A123" s="9"/>
      <c r="C123" s="61"/>
      <c r="E123" s="62"/>
      <c r="F123" s="61"/>
    </row>
    <row r="124" spans="1:6" ht="14.25" customHeight="1" x14ac:dyDescent="0.3">
      <c r="A124" s="9"/>
      <c r="C124" s="61"/>
      <c r="E124" s="62"/>
      <c r="F124" s="61"/>
    </row>
    <row r="125" spans="1:6" ht="14.25" customHeight="1" x14ac:dyDescent="0.3">
      <c r="A125" s="9"/>
      <c r="C125" s="61"/>
      <c r="E125" s="62"/>
      <c r="F125" s="61"/>
    </row>
    <row r="126" spans="1:6" ht="14.25" customHeight="1" x14ac:dyDescent="0.3">
      <c r="A126" s="9"/>
      <c r="C126" s="61"/>
      <c r="E126" s="62"/>
      <c r="F126" s="61"/>
    </row>
    <row r="127" spans="1:6" ht="14.25" customHeight="1" x14ac:dyDescent="0.3">
      <c r="A127" s="9"/>
      <c r="C127" s="61"/>
      <c r="E127" s="62"/>
      <c r="F127" s="61"/>
    </row>
    <row r="128" spans="1:6" ht="14.25" customHeight="1" x14ac:dyDescent="0.3">
      <c r="A128" s="9"/>
      <c r="C128" s="61"/>
      <c r="E128" s="62"/>
      <c r="F128" s="61"/>
    </row>
    <row r="129" spans="1:6" ht="14.25" customHeight="1" x14ac:dyDescent="0.3">
      <c r="A129" s="9"/>
      <c r="C129" s="61"/>
      <c r="E129" s="62"/>
      <c r="F129" s="61"/>
    </row>
    <row r="130" spans="1:6" ht="14.25" customHeight="1" x14ac:dyDescent="0.3">
      <c r="A130" s="9"/>
      <c r="C130" s="61"/>
      <c r="E130" s="62"/>
      <c r="F130" s="61"/>
    </row>
    <row r="131" spans="1:6" ht="14.25" customHeight="1" x14ac:dyDescent="0.3">
      <c r="A131" s="9"/>
      <c r="C131" s="61"/>
      <c r="E131" s="62"/>
      <c r="F131" s="61"/>
    </row>
    <row r="132" spans="1:6" ht="14.25" customHeight="1" x14ac:dyDescent="0.3">
      <c r="A132" s="9"/>
      <c r="C132" s="61"/>
      <c r="E132" s="62"/>
      <c r="F132" s="61"/>
    </row>
    <row r="133" spans="1:6" ht="14.25" customHeight="1" x14ac:dyDescent="0.3">
      <c r="A133" s="9"/>
      <c r="C133" s="61"/>
      <c r="E133" s="62"/>
      <c r="F133" s="61"/>
    </row>
    <row r="134" spans="1:6" ht="14.25" customHeight="1" x14ac:dyDescent="0.3">
      <c r="A134" s="9"/>
      <c r="C134" s="61"/>
      <c r="E134" s="62"/>
      <c r="F134" s="61"/>
    </row>
    <row r="135" spans="1:6" ht="14.25" customHeight="1" x14ac:dyDescent="0.3">
      <c r="A135" s="9"/>
      <c r="C135" s="61"/>
      <c r="E135" s="62"/>
      <c r="F135" s="61"/>
    </row>
    <row r="136" spans="1:6" ht="14.25" customHeight="1" x14ac:dyDescent="0.3">
      <c r="A136" s="9"/>
      <c r="C136" s="61"/>
      <c r="E136" s="62"/>
      <c r="F136" s="61"/>
    </row>
    <row r="137" spans="1:6" ht="14.25" customHeight="1" x14ac:dyDescent="0.3">
      <c r="A137" s="9"/>
      <c r="C137" s="61"/>
      <c r="E137" s="62"/>
      <c r="F137" s="61"/>
    </row>
    <row r="138" spans="1:6" ht="14.25" customHeight="1" x14ac:dyDescent="0.3">
      <c r="A138" s="9"/>
      <c r="C138" s="61"/>
      <c r="E138" s="62"/>
      <c r="F138" s="61"/>
    </row>
    <row r="139" spans="1:6" ht="14.25" customHeight="1" x14ac:dyDescent="0.3">
      <c r="A139" s="9"/>
      <c r="C139" s="61"/>
      <c r="E139" s="62"/>
      <c r="F139" s="61"/>
    </row>
    <row r="140" spans="1:6" ht="14.25" customHeight="1" x14ac:dyDescent="0.3">
      <c r="A140" s="9"/>
      <c r="C140" s="61"/>
      <c r="E140" s="62"/>
      <c r="F140" s="61"/>
    </row>
    <row r="141" spans="1:6" ht="14.25" customHeight="1" x14ac:dyDescent="0.3">
      <c r="A141" s="9"/>
      <c r="C141" s="61"/>
      <c r="E141" s="62"/>
      <c r="F141" s="61"/>
    </row>
    <row r="142" spans="1:6" ht="14.25" customHeight="1" x14ac:dyDescent="0.3">
      <c r="A142" s="9"/>
      <c r="C142" s="61"/>
      <c r="E142" s="62"/>
      <c r="F142" s="61"/>
    </row>
    <row r="143" spans="1:6" ht="14.25" customHeight="1" x14ac:dyDescent="0.3">
      <c r="A143" s="9"/>
      <c r="C143" s="61"/>
      <c r="E143" s="62"/>
      <c r="F143" s="61"/>
    </row>
    <row r="144" spans="1:6" ht="14.25" customHeight="1" x14ac:dyDescent="0.3">
      <c r="A144" s="9"/>
      <c r="C144" s="61"/>
      <c r="E144" s="62"/>
      <c r="F144" s="61"/>
    </row>
    <row r="145" spans="1:6" ht="14.25" customHeight="1" x14ac:dyDescent="0.3">
      <c r="A145" s="9"/>
      <c r="C145" s="61"/>
      <c r="E145" s="62"/>
      <c r="F145" s="61"/>
    </row>
    <row r="146" spans="1:6" ht="14.25" customHeight="1" x14ac:dyDescent="0.3">
      <c r="A146" s="9"/>
      <c r="C146" s="61"/>
      <c r="E146" s="62"/>
      <c r="F146" s="61"/>
    </row>
    <row r="147" spans="1:6" ht="14.25" customHeight="1" x14ac:dyDescent="0.3">
      <c r="A147" s="9"/>
      <c r="C147" s="61"/>
      <c r="E147" s="62"/>
      <c r="F147" s="61"/>
    </row>
    <row r="148" spans="1:6" ht="14.25" customHeight="1" x14ac:dyDescent="0.3">
      <c r="A148" s="9"/>
      <c r="C148" s="61"/>
      <c r="E148" s="62"/>
      <c r="F148" s="61"/>
    </row>
    <row r="149" spans="1:6" ht="14.25" customHeight="1" x14ac:dyDescent="0.3">
      <c r="A149" s="9"/>
      <c r="C149" s="61"/>
      <c r="E149" s="62"/>
      <c r="F149" s="61"/>
    </row>
    <row r="150" spans="1:6" ht="14.25" customHeight="1" x14ac:dyDescent="0.3">
      <c r="A150" s="9"/>
      <c r="C150" s="61"/>
      <c r="E150" s="62"/>
      <c r="F150" s="61"/>
    </row>
    <row r="151" spans="1:6" ht="14.25" customHeight="1" x14ac:dyDescent="0.3">
      <c r="A151" s="9"/>
      <c r="C151" s="61"/>
      <c r="E151" s="62"/>
      <c r="F151" s="61"/>
    </row>
    <row r="152" spans="1:6" ht="14.25" customHeight="1" x14ac:dyDescent="0.3">
      <c r="A152" s="9"/>
      <c r="C152" s="61"/>
      <c r="E152" s="62"/>
      <c r="F152" s="61"/>
    </row>
    <row r="153" spans="1:6" ht="14.25" customHeight="1" x14ac:dyDescent="0.3">
      <c r="A153" s="9"/>
      <c r="C153" s="61"/>
      <c r="E153" s="62"/>
      <c r="F153" s="61"/>
    </row>
    <row r="154" spans="1:6" ht="14.25" customHeight="1" x14ac:dyDescent="0.3">
      <c r="A154" s="9"/>
      <c r="C154" s="61"/>
      <c r="E154" s="62"/>
      <c r="F154" s="61"/>
    </row>
    <row r="155" spans="1:6" ht="14.25" customHeight="1" x14ac:dyDescent="0.3">
      <c r="A155" s="9"/>
      <c r="C155" s="61"/>
      <c r="E155" s="62"/>
      <c r="F155" s="61"/>
    </row>
    <row r="156" spans="1:6" ht="14.25" customHeight="1" x14ac:dyDescent="0.3">
      <c r="A156" s="9"/>
      <c r="C156" s="61"/>
      <c r="E156" s="62"/>
      <c r="F156" s="61"/>
    </row>
    <row r="157" spans="1:6" ht="14.25" customHeight="1" x14ac:dyDescent="0.3">
      <c r="A157" s="9"/>
      <c r="C157" s="61"/>
      <c r="E157" s="62"/>
      <c r="F157" s="61"/>
    </row>
    <row r="158" spans="1:6" ht="14.25" customHeight="1" x14ac:dyDescent="0.3">
      <c r="A158" s="9"/>
      <c r="C158" s="61"/>
      <c r="E158" s="62"/>
      <c r="F158" s="61"/>
    </row>
    <row r="159" spans="1:6" ht="14.25" customHeight="1" x14ac:dyDescent="0.3">
      <c r="A159" s="9"/>
      <c r="C159" s="61"/>
      <c r="E159" s="62"/>
      <c r="F159" s="61"/>
    </row>
    <row r="160" spans="1:6" ht="14.25" customHeight="1" x14ac:dyDescent="0.3">
      <c r="A160" s="9"/>
      <c r="C160" s="61"/>
      <c r="E160" s="62"/>
      <c r="F160" s="61"/>
    </row>
    <row r="161" spans="1:6" ht="14.25" customHeight="1" x14ac:dyDescent="0.3">
      <c r="A161" s="9"/>
      <c r="C161" s="61"/>
      <c r="E161" s="62"/>
      <c r="F161" s="61"/>
    </row>
    <row r="162" spans="1:6" ht="14.25" customHeight="1" x14ac:dyDescent="0.3">
      <c r="A162" s="9"/>
      <c r="C162" s="61"/>
      <c r="E162" s="62"/>
      <c r="F162" s="61"/>
    </row>
    <row r="163" spans="1:6" ht="14.25" customHeight="1" x14ac:dyDescent="0.3">
      <c r="A163" s="9"/>
      <c r="C163" s="61"/>
      <c r="E163" s="62"/>
      <c r="F163" s="61"/>
    </row>
    <row r="164" spans="1:6" ht="14.25" customHeight="1" x14ac:dyDescent="0.3">
      <c r="A164" s="9"/>
      <c r="C164" s="61"/>
      <c r="E164" s="62"/>
      <c r="F164" s="61"/>
    </row>
    <row r="165" spans="1:6" ht="14.25" customHeight="1" x14ac:dyDescent="0.3">
      <c r="A165" s="9"/>
      <c r="C165" s="61"/>
      <c r="E165" s="62"/>
      <c r="F165" s="61"/>
    </row>
    <row r="166" spans="1:6" ht="14.25" customHeight="1" x14ac:dyDescent="0.3">
      <c r="A166" s="9"/>
      <c r="C166" s="61"/>
      <c r="E166" s="62"/>
      <c r="F166" s="61"/>
    </row>
    <row r="167" spans="1:6" ht="14.25" customHeight="1" x14ac:dyDescent="0.3">
      <c r="A167" s="9"/>
      <c r="C167" s="61"/>
      <c r="E167" s="62"/>
      <c r="F167" s="61"/>
    </row>
    <row r="168" spans="1:6" ht="14.25" customHeight="1" x14ac:dyDescent="0.3">
      <c r="A168" s="9"/>
      <c r="C168" s="61"/>
      <c r="E168" s="62"/>
      <c r="F168" s="61"/>
    </row>
    <row r="169" spans="1:6" ht="14.25" customHeight="1" x14ac:dyDescent="0.3">
      <c r="A169" s="9"/>
      <c r="C169" s="61"/>
      <c r="E169" s="62"/>
      <c r="F169" s="61"/>
    </row>
    <row r="170" spans="1:6" ht="14.25" customHeight="1" x14ac:dyDescent="0.3">
      <c r="A170" s="9"/>
      <c r="C170" s="61"/>
      <c r="E170" s="62"/>
      <c r="F170" s="61"/>
    </row>
    <row r="171" spans="1:6" ht="14.25" customHeight="1" x14ac:dyDescent="0.3">
      <c r="A171" s="9"/>
      <c r="C171" s="61"/>
      <c r="E171" s="62"/>
      <c r="F171" s="61"/>
    </row>
    <row r="172" spans="1:6" ht="14.25" customHeight="1" x14ac:dyDescent="0.3">
      <c r="A172" s="9"/>
      <c r="C172" s="61"/>
      <c r="E172" s="62"/>
      <c r="F172" s="61"/>
    </row>
    <row r="173" spans="1:6" ht="14.25" customHeight="1" x14ac:dyDescent="0.3">
      <c r="A173" s="9"/>
      <c r="C173" s="61"/>
      <c r="E173" s="62"/>
      <c r="F173" s="61"/>
    </row>
    <row r="174" spans="1:6" ht="14.25" customHeight="1" x14ac:dyDescent="0.3">
      <c r="A174" s="9"/>
      <c r="C174" s="61"/>
      <c r="E174" s="62"/>
      <c r="F174" s="61"/>
    </row>
    <row r="175" spans="1:6" ht="14.25" customHeight="1" x14ac:dyDescent="0.3">
      <c r="A175" s="9"/>
      <c r="C175" s="61"/>
      <c r="E175" s="62"/>
      <c r="F175" s="61"/>
    </row>
    <row r="176" spans="1:6" ht="14.25" customHeight="1" x14ac:dyDescent="0.3">
      <c r="A176" s="9"/>
      <c r="C176" s="61"/>
      <c r="E176" s="62"/>
      <c r="F176" s="61"/>
    </row>
    <row r="177" spans="1:6" ht="14.25" customHeight="1" x14ac:dyDescent="0.3">
      <c r="A177" s="9"/>
      <c r="C177" s="61"/>
      <c r="E177" s="62"/>
      <c r="F177" s="61"/>
    </row>
    <row r="178" spans="1:6" ht="14.25" customHeight="1" x14ac:dyDescent="0.3">
      <c r="A178" s="9"/>
      <c r="C178" s="61"/>
      <c r="E178" s="62"/>
      <c r="F178" s="61"/>
    </row>
    <row r="179" spans="1:6" ht="14.25" customHeight="1" x14ac:dyDescent="0.3">
      <c r="A179" s="9"/>
      <c r="C179" s="61"/>
      <c r="E179" s="62"/>
      <c r="F179" s="61"/>
    </row>
    <row r="180" spans="1:6" ht="14.25" customHeight="1" x14ac:dyDescent="0.3">
      <c r="A180" s="9"/>
      <c r="C180" s="61"/>
      <c r="E180" s="62"/>
      <c r="F180" s="61"/>
    </row>
    <row r="181" spans="1:6" ht="14.25" customHeight="1" x14ac:dyDescent="0.3">
      <c r="A181" s="9"/>
      <c r="C181" s="61"/>
      <c r="E181" s="62"/>
      <c r="F181" s="61"/>
    </row>
    <row r="182" spans="1:6" ht="14.25" customHeight="1" x14ac:dyDescent="0.3">
      <c r="A182" s="9"/>
      <c r="C182" s="61"/>
      <c r="E182" s="62"/>
      <c r="F182" s="61"/>
    </row>
    <row r="183" spans="1:6" ht="14.25" customHeight="1" x14ac:dyDescent="0.3">
      <c r="A183" s="9"/>
      <c r="C183" s="61"/>
      <c r="E183" s="62"/>
      <c r="F183" s="61"/>
    </row>
    <row r="184" spans="1:6" ht="14.25" customHeight="1" x14ac:dyDescent="0.3">
      <c r="A184" s="9"/>
      <c r="C184" s="61"/>
      <c r="E184" s="62"/>
      <c r="F184" s="61"/>
    </row>
    <row r="185" spans="1:6" ht="14.25" customHeight="1" x14ac:dyDescent="0.3">
      <c r="A185" s="9"/>
      <c r="C185" s="61"/>
      <c r="E185" s="62"/>
      <c r="F185" s="61"/>
    </row>
    <row r="186" spans="1:6" ht="14.25" customHeight="1" x14ac:dyDescent="0.3">
      <c r="A186" s="9"/>
      <c r="C186" s="61"/>
      <c r="E186" s="62"/>
      <c r="F186" s="61"/>
    </row>
    <row r="187" spans="1:6" ht="14.25" customHeight="1" x14ac:dyDescent="0.3">
      <c r="A187" s="9"/>
      <c r="C187" s="61"/>
      <c r="E187" s="62"/>
      <c r="F187" s="61"/>
    </row>
    <row r="188" spans="1:6" ht="14.25" customHeight="1" x14ac:dyDescent="0.3">
      <c r="A188" s="9"/>
      <c r="C188" s="61"/>
      <c r="E188" s="62"/>
      <c r="F188" s="61"/>
    </row>
    <row r="189" spans="1:6" ht="14.25" customHeight="1" x14ac:dyDescent="0.3">
      <c r="A189" s="9"/>
      <c r="C189" s="61"/>
      <c r="E189" s="62"/>
      <c r="F189" s="61"/>
    </row>
    <row r="190" spans="1:6" ht="14.25" customHeight="1" x14ac:dyDescent="0.3">
      <c r="A190" s="9"/>
      <c r="C190" s="61"/>
      <c r="E190" s="62"/>
      <c r="F190" s="61"/>
    </row>
    <row r="191" spans="1:6" ht="14.25" customHeight="1" x14ac:dyDescent="0.3">
      <c r="A191" s="9"/>
      <c r="C191" s="61"/>
      <c r="E191" s="62"/>
      <c r="F191" s="61"/>
    </row>
    <row r="192" spans="1:6" ht="14.25" customHeight="1" x14ac:dyDescent="0.3">
      <c r="A192" s="9"/>
      <c r="C192" s="61"/>
      <c r="E192" s="62"/>
      <c r="F192" s="61"/>
    </row>
    <row r="193" spans="1:6" ht="14.25" customHeight="1" x14ac:dyDescent="0.3">
      <c r="A193" s="9"/>
      <c r="C193" s="61"/>
      <c r="E193" s="62"/>
      <c r="F193" s="61"/>
    </row>
    <row r="194" spans="1:6" ht="14.25" customHeight="1" x14ac:dyDescent="0.3">
      <c r="A194" s="9"/>
      <c r="C194" s="61"/>
      <c r="E194" s="62"/>
      <c r="F194" s="61"/>
    </row>
    <row r="195" spans="1:6" ht="14.25" customHeight="1" x14ac:dyDescent="0.3">
      <c r="A195" s="9"/>
      <c r="C195" s="61"/>
      <c r="E195" s="62"/>
      <c r="F195" s="61"/>
    </row>
    <row r="196" spans="1:6" ht="14.25" customHeight="1" x14ac:dyDescent="0.3">
      <c r="A196" s="9"/>
      <c r="C196" s="61"/>
      <c r="E196" s="62"/>
      <c r="F196" s="61"/>
    </row>
    <row r="197" spans="1:6" ht="14.25" customHeight="1" x14ac:dyDescent="0.3">
      <c r="A197" s="9"/>
      <c r="C197" s="61"/>
      <c r="E197" s="62"/>
      <c r="F197" s="61"/>
    </row>
    <row r="198" spans="1:6" ht="14.25" customHeight="1" x14ac:dyDescent="0.3">
      <c r="A198" s="9"/>
      <c r="C198" s="61"/>
      <c r="E198" s="62"/>
      <c r="F198" s="61"/>
    </row>
    <row r="199" spans="1:6" ht="14.25" customHeight="1" x14ac:dyDescent="0.3">
      <c r="A199" s="9"/>
      <c r="C199" s="61"/>
      <c r="E199" s="62"/>
      <c r="F199" s="61"/>
    </row>
    <row r="200" spans="1:6" ht="14.25" customHeight="1" x14ac:dyDescent="0.3">
      <c r="A200" s="9"/>
      <c r="C200" s="61"/>
      <c r="E200" s="62"/>
      <c r="F200" s="61"/>
    </row>
    <row r="201" spans="1:6" ht="14.25" customHeight="1" x14ac:dyDescent="0.3">
      <c r="A201" s="9"/>
      <c r="C201" s="61"/>
      <c r="E201" s="62"/>
      <c r="F201" s="61"/>
    </row>
    <row r="202" spans="1:6" ht="14.25" customHeight="1" x14ac:dyDescent="0.3">
      <c r="A202" s="9"/>
      <c r="C202" s="61"/>
      <c r="E202" s="62"/>
      <c r="F202" s="61"/>
    </row>
    <row r="203" spans="1:6" ht="14.25" customHeight="1" x14ac:dyDescent="0.3">
      <c r="A203" s="9"/>
      <c r="C203" s="61"/>
      <c r="E203" s="62"/>
      <c r="F203" s="61"/>
    </row>
    <row r="204" spans="1:6" ht="14.25" customHeight="1" x14ac:dyDescent="0.3">
      <c r="A204" s="9"/>
      <c r="C204" s="61"/>
      <c r="E204" s="62"/>
      <c r="F204" s="61"/>
    </row>
    <row r="205" spans="1:6" ht="14.25" customHeight="1" x14ac:dyDescent="0.3">
      <c r="A205" s="9"/>
      <c r="C205" s="61"/>
      <c r="E205" s="62"/>
      <c r="F205" s="61"/>
    </row>
    <row r="206" spans="1:6" ht="14.25" customHeight="1" x14ac:dyDescent="0.3">
      <c r="A206" s="9"/>
      <c r="C206" s="61"/>
      <c r="E206" s="62"/>
      <c r="F206" s="61"/>
    </row>
    <row r="207" spans="1:6" ht="14.25" customHeight="1" x14ac:dyDescent="0.3">
      <c r="A207" s="9"/>
      <c r="C207" s="61"/>
      <c r="E207" s="62"/>
      <c r="F207" s="61"/>
    </row>
    <row r="208" spans="1:6" ht="14.25" customHeight="1" x14ac:dyDescent="0.3">
      <c r="A208" s="9"/>
      <c r="C208" s="61"/>
      <c r="E208" s="62"/>
      <c r="F208" s="61"/>
    </row>
    <row r="209" spans="1:6" ht="14.25" customHeight="1" x14ac:dyDescent="0.3">
      <c r="A209" s="9"/>
      <c r="C209" s="61"/>
      <c r="E209" s="62"/>
      <c r="F209" s="61"/>
    </row>
    <row r="210" spans="1:6" ht="14.25" customHeight="1" x14ac:dyDescent="0.3">
      <c r="A210" s="9"/>
      <c r="C210" s="61"/>
      <c r="E210" s="62"/>
      <c r="F210" s="61"/>
    </row>
    <row r="211" spans="1:6" ht="14.25" customHeight="1" x14ac:dyDescent="0.3">
      <c r="A211" s="9"/>
      <c r="C211" s="61"/>
      <c r="E211" s="62"/>
      <c r="F211" s="61"/>
    </row>
    <row r="212" spans="1:6" ht="14.25" customHeight="1" x14ac:dyDescent="0.3">
      <c r="A212" s="9"/>
      <c r="C212" s="61"/>
      <c r="E212" s="62"/>
      <c r="F212" s="61"/>
    </row>
    <row r="213" spans="1:6" ht="14.25" customHeight="1" x14ac:dyDescent="0.3">
      <c r="A213" s="9"/>
      <c r="C213" s="61"/>
      <c r="E213" s="62"/>
      <c r="F213" s="61"/>
    </row>
    <row r="214" spans="1:6" ht="14.25" customHeight="1" x14ac:dyDescent="0.3">
      <c r="A214" s="9"/>
      <c r="C214" s="61"/>
      <c r="E214" s="62"/>
      <c r="F214" s="61"/>
    </row>
    <row r="215" spans="1:6" ht="14.25" customHeight="1" x14ac:dyDescent="0.3">
      <c r="A215" s="9"/>
      <c r="C215" s="61"/>
      <c r="E215" s="62"/>
      <c r="F215" s="61"/>
    </row>
    <row r="216" spans="1:6" ht="14.25" customHeight="1" x14ac:dyDescent="0.3">
      <c r="A216" s="9"/>
      <c r="C216" s="61"/>
      <c r="E216" s="62"/>
      <c r="F216" s="61"/>
    </row>
    <row r="217" spans="1:6" ht="14.25" customHeight="1" x14ac:dyDescent="0.3">
      <c r="A217" s="9"/>
      <c r="C217" s="61"/>
      <c r="E217" s="62"/>
      <c r="F217" s="61"/>
    </row>
    <row r="218" spans="1:6" ht="14.25" customHeight="1" x14ac:dyDescent="0.3">
      <c r="A218" s="9"/>
      <c r="C218" s="61"/>
      <c r="E218" s="62"/>
      <c r="F218" s="61"/>
    </row>
    <row r="219" spans="1:6" ht="14.25" customHeight="1" x14ac:dyDescent="0.3">
      <c r="A219" s="9"/>
      <c r="C219" s="61"/>
      <c r="E219" s="62"/>
      <c r="F219" s="61"/>
    </row>
    <row r="220" spans="1:6" ht="14.25" customHeight="1" x14ac:dyDescent="0.3">
      <c r="A220" s="9"/>
      <c r="C220" s="61"/>
      <c r="E220" s="62"/>
      <c r="F220" s="61"/>
    </row>
    <row r="221" spans="1:6" ht="14.25" customHeight="1" x14ac:dyDescent="0.3">
      <c r="A221" s="9"/>
    </row>
    <row r="222" spans="1:6" ht="14.25" customHeight="1" x14ac:dyDescent="0.3">
      <c r="A222" s="9"/>
    </row>
    <row r="223" spans="1:6" ht="14.25" customHeight="1" x14ac:dyDescent="0.3">
      <c r="A223" s="9"/>
    </row>
    <row r="224" spans="1:6" ht="14.25" customHeight="1" x14ac:dyDescent="0.3">
      <c r="A224" s="9"/>
    </row>
    <row r="225" spans="1:1" ht="14.25" customHeight="1" x14ac:dyDescent="0.3">
      <c r="A225" s="9"/>
    </row>
    <row r="226" spans="1:1" ht="14.25" customHeight="1" x14ac:dyDescent="0.3">
      <c r="A226" s="9"/>
    </row>
    <row r="227" spans="1:1" ht="14.25" customHeight="1" x14ac:dyDescent="0.3">
      <c r="A227" s="9"/>
    </row>
    <row r="228" spans="1:1" ht="14.25" customHeight="1" x14ac:dyDescent="0.3">
      <c r="A228" s="9"/>
    </row>
    <row r="229" spans="1:1" ht="14.25" customHeight="1" x14ac:dyDescent="0.3">
      <c r="A229" s="9"/>
    </row>
    <row r="230" spans="1:1" ht="14.25" customHeight="1" x14ac:dyDescent="0.3">
      <c r="A230" s="9"/>
    </row>
    <row r="231" spans="1:1" ht="14.25" customHeight="1" x14ac:dyDescent="0.3">
      <c r="A231" s="9"/>
    </row>
    <row r="232" spans="1:1" ht="14.25" customHeight="1" x14ac:dyDescent="0.3">
      <c r="A232" s="9"/>
    </row>
    <row r="233" spans="1:1" ht="14.25" customHeight="1" x14ac:dyDescent="0.3">
      <c r="A233" s="9"/>
    </row>
    <row r="234" spans="1:1" ht="14.25" customHeight="1" x14ac:dyDescent="0.3">
      <c r="A234" s="9"/>
    </row>
    <row r="235" spans="1:1" ht="14.25" customHeight="1" x14ac:dyDescent="0.3">
      <c r="A235" s="9"/>
    </row>
    <row r="236" spans="1:1" ht="14.25" customHeight="1" x14ac:dyDescent="0.3">
      <c r="A236" s="9"/>
    </row>
    <row r="237" spans="1:1" ht="14.25" customHeight="1" x14ac:dyDescent="0.3">
      <c r="A237" s="9"/>
    </row>
    <row r="238" spans="1:1" ht="14.25" customHeight="1" x14ac:dyDescent="0.3">
      <c r="A238" s="9"/>
    </row>
    <row r="239" spans="1:1" ht="14.25" customHeight="1" x14ac:dyDescent="0.3">
      <c r="A239" s="9"/>
    </row>
    <row r="240" spans="1:1" ht="14.25" customHeight="1" x14ac:dyDescent="0.3">
      <c r="A240" s="9"/>
    </row>
    <row r="241" spans="1:1" ht="14.25" customHeight="1" x14ac:dyDescent="0.3">
      <c r="A241" s="9"/>
    </row>
    <row r="242" spans="1:1" ht="14.25" customHeight="1" x14ac:dyDescent="0.3">
      <c r="A242" s="9"/>
    </row>
    <row r="243" spans="1:1" ht="14.25" customHeight="1" x14ac:dyDescent="0.3">
      <c r="A243" s="9"/>
    </row>
    <row r="244" spans="1:1" ht="14.25" customHeight="1" x14ac:dyDescent="0.3">
      <c r="A244" s="9"/>
    </row>
    <row r="245" spans="1:1" ht="14.25" customHeight="1" x14ac:dyDescent="0.3">
      <c r="A245" s="9"/>
    </row>
    <row r="246" spans="1:1" ht="14.25" customHeight="1" x14ac:dyDescent="0.3">
      <c r="A246" s="9"/>
    </row>
    <row r="247" spans="1:1" ht="14.25" customHeight="1" x14ac:dyDescent="0.3">
      <c r="A247" s="9"/>
    </row>
    <row r="248" spans="1:1" ht="14.25" customHeight="1" x14ac:dyDescent="0.3">
      <c r="A248" s="9"/>
    </row>
    <row r="249" spans="1:1" ht="14.25" customHeight="1" x14ac:dyDescent="0.3">
      <c r="A249" s="9"/>
    </row>
    <row r="250" spans="1:1" ht="14.25" customHeight="1" x14ac:dyDescent="0.3">
      <c r="A250" s="9"/>
    </row>
    <row r="251" spans="1:1" ht="14.25" customHeight="1" x14ac:dyDescent="0.3">
      <c r="A251" s="9"/>
    </row>
    <row r="252" spans="1:1" ht="14.25" customHeight="1" x14ac:dyDescent="0.3">
      <c r="A252" s="9"/>
    </row>
    <row r="253" spans="1:1" ht="14.25" customHeight="1" x14ac:dyDescent="0.3">
      <c r="A253" s="9"/>
    </row>
    <row r="254" spans="1:1" ht="14.25" customHeight="1" x14ac:dyDescent="0.3">
      <c r="A254" s="9"/>
    </row>
    <row r="255" spans="1:1" ht="14.25" customHeight="1" x14ac:dyDescent="0.3">
      <c r="A255" s="9"/>
    </row>
    <row r="256" spans="1:1" ht="14.25" customHeight="1" x14ac:dyDescent="0.3">
      <c r="A256" s="9"/>
    </row>
    <row r="257" spans="1:1" ht="14.25" customHeight="1" x14ac:dyDescent="0.3">
      <c r="A257" s="9"/>
    </row>
    <row r="258" spans="1:1" ht="14.25" customHeight="1" x14ac:dyDescent="0.3">
      <c r="A258" s="9"/>
    </row>
    <row r="259" spans="1:1" ht="14.25" customHeight="1" x14ac:dyDescent="0.3">
      <c r="A259" s="9"/>
    </row>
    <row r="260" spans="1:1" ht="14.25" customHeight="1" x14ac:dyDescent="0.3">
      <c r="A260" s="9"/>
    </row>
    <row r="261" spans="1:1" ht="14.25" customHeight="1" x14ac:dyDescent="0.3">
      <c r="A261" s="9"/>
    </row>
    <row r="262" spans="1:1" ht="14.25" customHeight="1" x14ac:dyDescent="0.3">
      <c r="A262" s="9"/>
    </row>
    <row r="263" spans="1:1" ht="14.25" customHeight="1" x14ac:dyDescent="0.3">
      <c r="A263" s="9"/>
    </row>
    <row r="264" spans="1:1" ht="14.25" customHeight="1" x14ac:dyDescent="0.3">
      <c r="A264" s="9"/>
    </row>
    <row r="265" spans="1:1" ht="14.25" customHeight="1" x14ac:dyDescent="0.3">
      <c r="A265" s="9"/>
    </row>
    <row r="266" spans="1:1" ht="14.25" customHeight="1" x14ac:dyDescent="0.3">
      <c r="A266" s="9"/>
    </row>
    <row r="267" spans="1:1" ht="14.25" customHeight="1" x14ac:dyDescent="0.3">
      <c r="A267" s="9"/>
    </row>
    <row r="268" spans="1:1" ht="14.25" customHeight="1" x14ac:dyDescent="0.3">
      <c r="A268" s="9"/>
    </row>
    <row r="269" spans="1:1" ht="14.25" customHeight="1" x14ac:dyDescent="0.3">
      <c r="A269" s="9"/>
    </row>
    <row r="270" spans="1:1" ht="14.25" customHeight="1" x14ac:dyDescent="0.3">
      <c r="A270" s="9"/>
    </row>
    <row r="271" spans="1:1" ht="14.25" customHeight="1" x14ac:dyDescent="0.3">
      <c r="A271" s="9"/>
    </row>
    <row r="272" spans="1:1" ht="14.25" customHeight="1" x14ac:dyDescent="0.3">
      <c r="A272" s="9"/>
    </row>
    <row r="273" spans="1:1" ht="14.25" customHeight="1" x14ac:dyDescent="0.3">
      <c r="A273" s="9"/>
    </row>
    <row r="274" spans="1:1" ht="14.25" customHeight="1" x14ac:dyDescent="0.3">
      <c r="A274" s="9"/>
    </row>
    <row r="275" spans="1:1" ht="14.25" customHeight="1" x14ac:dyDescent="0.3">
      <c r="A275" s="9"/>
    </row>
    <row r="276" spans="1:1" ht="14.25" customHeight="1" x14ac:dyDescent="0.3">
      <c r="A276" s="9"/>
    </row>
    <row r="277" spans="1:1" ht="14.25" customHeight="1" x14ac:dyDescent="0.3">
      <c r="A277" s="9"/>
    </row>
    <row r="278" spans="1:1" ht="14.25" customHeight="1" x14ac:dyDescent="0.3">
      <c r="A278" s="9"/>
    </row>
    <row r="279" spans="1:1" ht="14.25" customHeight="1" x14ac:dyDescent="0.3">
      <c r="A279" s="9"/>
    </row>
    <row r="280" spans="1:1" ht="14.25" customHeight="1" x14ac:dyDescent="0.3">
      <c r="A280" s="9"/>
    </row>
    <row r="281" spans="1:1" ht="14.25" customHeight="1" x14ac:dyDescent="0.3">
      <c r="A281" s="9"/>
    </row>
    <row r="282" spans="1:1" ht="14.25" customHeight="1" x14ac:dyDescent="0.3">
      <c r="A282" s="9"/>
    </row>
    <row r="283" spans="1:1" ht="14.25" customHeight="1" x14ac:dyDescent="0.3">
      <c r="A283" s="9"/>
    </row>
    <row r="284" spans="1:1" ht="14.25" customHeight="1" x14ac:dyDescent="0.3">
      <c r="A284" s="9"/>
    </row>
    <row r="285" spans="1:1" ht="14.25" customHeight="1" x14ac:dyDescent="0.3">
      <c r="A285" s="9"/>
    </row>
    <row r="286" spans="1:1" ht="14.25" customHeight="1" x14ac:dyDescent="0.3">
      <c r="A286" s="9"/>
    </row>
    <row r="287" spans="1:1" ht="14.25" customHeight="1" x14ac:dyDescent="0.3">
      <c r="A287" s="9"/>
    </row>
    <row r="288" spans="1:1" ht="14.25" customHeight="1" x14ac:dyDescent="0.3">
      <c r="A288" s="9"/>
    </row>
    <row r="289" spans="1:1" ht="14.25" customHeight="1" x14ac:dyDescent="0.3">
      <c r="A289" s="9"/>
    </row>
    <row r="290" spans="1:1" ht="14.25" customHeight="1" x14ac:dyDescent="0.3">
      <c r="A290" s="9"/>
    </row>
    <row r="291" spans="1:1" ht="14.25" customHeight="1" x14ac:dyDescent="0.3">
      <c r="A291" s="9"/>
    </row>
    <row r="292" spans="1:1" ht="14.25" customHeight="1" x14ac:dyDescent="0.3">
      <c r="A292" s="9"/>
    </row>
    <row r="293" spans="1:1" ht="14.25" customHeight="1" x14ac:dyDescent="0.3">
      <c r="A293" s="9"/>
    </row>
    <row r="294" spans="1:1" ht="14.25" customHeight="1" x14ac:dyDescent="0.3">
      <c r="A294" s="9"/>
    </row>
    <row r="295" spans="1:1" ht="14.25" customHeight="1" x14ac:dyDescent="0.3">
      <c r="A295" s="9"/>
    </row>
    <row r="296" spans="1:1" ht="14.25" customHeight="1" x14ac:dyDescent="0.3">
      <c r="A296" s="9"/>
    </row>
    <row r="297" spans="1:1" ht="14.25" customHeight="1" x14ac:dyDescent="0.3">
      <c r="A297" s="9"/>
    </row>
    <row r="298" spans="1:1" ht="14.25" customHeight="1" x14ac:dyDescent="0.3">
      <c r="A298" s="9"/>
    </row>
    <row r="299" spans="1:1" ht="14.25" customHeight="1" x14ac:dyDescent="0.3">
      <c r="A299" s="9"/>
    </row>
    <row r="300" spans="1:1" ht="14.25" customHeight="1" x14ac:dyDescent="0.3">
      <c r="A300" s="9"/>
    </row>
    <row r="301" spans="1:1" ht="14.25" customHeight="1" x14ac:dyDescent="0.3">
      <c r="A301" s="9"/>
    </row>
    <row r="302" spans="1:1" ht="14.25" customHeight="1" x14ac:dyDescent="0.3">
      <c r="A302" s="9"/>
    </row>
    <row r="303" spans="1:1" ht="14.25" customHeight="1" x14ac:dyDescent="0.3">
      <c r="A303" s="9"/>
    </row>
    <row r="304" spans="1:1" ht="14.25" customHeight="1" x14ac:dyDescent="0.3">
      <c r="A304" s="9"/>
    </row>
    <row r="305" spans="1:1" ht="14.25" customHeight="1" x14ac:dyDescent="0.3">
      <c r="A305" s="9"/>
    </row>
    <row r="306" spans="1:1" ht="14.25" customHeight="1" x14ac:dyDescent="0.3">
      <c r="A306" s="9"/>
    </row>
    <row r="307" spans="1:1" ht="14.25" customHeight="1" x14ac:dyDescent="0.3">
      <c r="A307" s="9"/>
    </row>
    <row r="308" spans="1:1" ht="14.25" customHeight="1" x14ac:dyDescent="0.3">
      <c r="A308" s="9"/>
    </row>
    <row r="309" spans="1:1" ht="14.25" customHeight="1" x14ac:dyDescent="0.3">
      <c r="A309" s="9"/>
    </row>
    <row r="310" spans="1:1" ht="14.25" customHeight="1" x14ac:dyDescent="0.3">
      <c r="A310" s="9"/>
    </row>
    <row r="311" spans="1:1" ht="14.25" customHeight="1" x14ac:dyDescent="0.3">
      <c r="A311" s="9"/>
    </row>
    <row r="312" spans="1:1" ht="14.25" customHeight="1" x14ac:dyDescent="0.3">
      <c r="A312" s="9"/>
    </row>
    <row r="313" spans="1:1" ht="14.25" customHeight="1" x14ac:dyDescent="0.3">
      <c r="A313" s="9"/>
    </row>
    <row r="314" spans="1:1" ht="14.25" customHeight="1" x14ac:dyDescent="0.3">
      <c r="A314" s="9"/>
    </row>
    <row r="315" spans="1:1" ht="14.25" customHeight="1" x14ac:dyDescent="0.3">
      <c r="A315" s="9"/>
    </row>
    <row r="316" spans="1:1" ht="14.25" customHeight="1" x14ac:dyDescent="0.3">
      <c r="A316" s="9"/>
    </row>
    <row r="317" spans="1:1" ht="14.25" customHeight="1" x14ac:dyDescent="0.3">
      <c r="A317" s="9"/>
    </row>
    <row r="318" spans="1:1" ht="14.25" customHeight="1" x14ac:dyDescent="0.3">
      <c r="A318" s="9"/>
    </row>
    <row r="319" spans="1:1" ht="14.25" customHeight="1" x14ac:dyDescent="0.3">
      <c r="A319" s="9"/>
    </row>
    <row r="320" spans="1:1" ht="14.25" customHeight="1" x14ac:dyDescent="0.3">
      <c r="A320" s="9"/>
    </row>
    <row r="321" spans="1:1" ht="14.25" customHeight="1" x14ac:dyDescent="0.3">
      <c r="A321" s="9"/>
    </row>
    <row r="322" spans="1:1" ht="14.25" customHeight="1" x14ac:dyDescent="0.3">
      <c r="A322" s="9"/>
    </row>
    <row r="323" spans="1:1" ht="14.25" customHeight="1" x14ac:dyDescent="0.3">
      <c r="A323" s="9"/>
    </row>
    <row r="324" spans="1:1" ht="14.25" customHeight="1" x14ac:dyDescent="0.3">
      <c r="A324" s="9"/>
    </row>
    <row r="325" spans="1:1" ht="14.25" customHeight="1" x14ac:dyDescent="0.3">
      <c r="A325" s="9"/>
    </row>
    <row r="326" spans="1:1" ht="14.25" customHeight="1" x14ac:dyDescent="0.3">
      <c r="A326" s="9"/>
    </row>
    <row r="327" spans="1:1" ht="14.25" customHeight="1" x14ac:dyDescent="0.3">
      <c r="A327" s="9"/>
    </row>
    <row r="328" spans="1:1" ht="14.25" customHeight="1" x14ac:dyDescent="0.3">
      <c r="A328" s="9"/>
    </row>
    <row r="329" spans="1:1" ht="14.25" customHeight="1" x14ac:dyDescent="0.3">
      <c r="A329" s="9"/>
    </row>
    <row r="330" spans="1:1" ht="14.25" customHeight="1" x14ac:dyDescent="0.3">
      <c r="A330" s="9"/>
    </row>
    <row r="331" spans="1:1" ht="14.25" customHeight="1" x14ac:dyDescent="0.3">
      <c r="A331" s="9"/>
    </row>
    <row r="332" spans="1:1" ht="14.25" customHeight="1" x14ac:dyDescent="0.3">
      <c r="A332" s="9"/>
    </row>
    <row r="333" spans="1:1" ht="14.25" customHeight="1" x14ac:dyDescent="0.3">
      <c r="A333" s="9"/>
    </row>
    <row r="334" spans="1:1" ht="14.25" customHeight="1" x14ac:dyDescent="0.3">
      <c r="A334" s="9"/>
    </row>
    <row r="335" spans="1:1" ht="14.25" customHeight="1" x14ac:dyDescent="0.3">
      <c r="A335" s="9"/>
    </row>
    <row r="336" spans="1:1" ht="14.25" customHeight="1" x14ac:dyDescent="0.3">
      <c r="A336" s="9"/>
    </row>
    <row r="337" spans="1:1" ht="14.25" customHeight="1" x14ac:dyDescent="0.3">
      <c r="A337" s="9"/>
    </row>
    <row r="338" spans="1:1" ht="14.25" customHeight="1" x14ac:dyDescent="0.3">
      <c r="A338" s="9"/>
    </row>
    <row r="339" spans="1:1" ht="14.25" customHeight="1" x14ac:dyDescent="0.3">
      <c r="A339" s="9"/>
    </row>
    <row r="340" spans="1:1" ht="14.25" customHeight="1" x14ac:dyDescent="0.3">
      <c r="A340" s="9"/>
    </row>
    <row r="341" spans="1:1" ht="14.25" customHeight="1" x14ac:dyDescent="0.3">
      <c r="A341" s="9"/>
    </row>
    <row r="342" spans="1:1" ht="14.25" customHeight="1" x14ac:dyDescent="0.3">
      <c r="A342" s="9"/>
    </row>
    <row r="343" spans="1:1" ht="14.25" customHeight="1" x14ac:dyDescent="0.3">
      <c r="A343" s="9"/>
    </row>
    <row r="344" spans="1:1" ht="14.25" customHeight="1" x14ac:dyDescent="0.3">
      <c r="A344" s="9"/>
    </row>
    <row r="345" spans="1:1" ht="14.25" customHeight="1" x14ac:dyDescent="0.3">
      <c r="A345" s="9"/>
    </row>
    <row r="346" spans="1:1" ht="14.25" customHeight="1" x14ac:dyDescent="0.3">
      <c r="A346" s="9"/>
    </row>
    <row r="347" spans="1:1" ht="14.25" customHeight="1" x14ac:dyDescent="0.3">
      <c r="A347" s="9"/>
    </row>
    <row r="348" spans="1:1" ht="14.25" customHeight="1" x14ac:dyDescent="0.3">
      <c r="A348" s="9"/>
    </row>
    <row r="349" spans="1:1" ht="14.25" customHeight="1" x14ac:dyDescent="0.3">
      <c r="A349" s="9"/>
    </row>
    <row r="350" spans="1:1" ht="14.25" customHeight="1" x14ac:dyDescent="0.3">
      <c r="A350" s="9"/>
    </row>
    <row r="351" spans="1:1" ht="14.25" customHeight="1" x14ac:dyDescent="0.3">
      <c r="A351" s="9"/>
    </row>
    <row r="352" spans="1:1" ht="14.25" customHeight="1" x14ac:dyDescent="0.3">
      <c r="A352" s="9"/>
    </row>
    <row r="353" spans="1:1" ht="14.25" customHeight="1" x14ac:dyDescent="0.3">
      <c r="A353" s="9"/>
    </row>
    <row r="354" spans="1:1" ht="14.25" customHeight="1" x14ac:dyDescent="0.3">
      <c r="A354" s="9"/>
    </row>
    <row r="355" spans="1:1" ht="14.25" customHeight="1" x14ac:dyDescent="0.3">
      <c r="A355" s="9"/>
    </row>
    <row r="356" spans="1:1" ht="14.25" customHeight="1" x14ac:dyDescent="0.3">
      <c r="A356" s="9"/>
    </row>
    <row r="357" spans="1:1" ht="14.25" customHeight="1" x14ac:dyDescent="0.3">
      <c r="A357" s="9"/>
    </row>
    <row r="358" spans="1:1" ht="14.25" customHeight="1" x14ac:dyDescent="0.3">
      <c r="A358" s="9"/>
    </row>
    <row r="359" spans="1:1" ht="14.25" customHeight="1" x14ac:dyDescent="0.3">
      <c r="A359" s="9"/>
    </row>
    <row r="360" spans="1:1" ht="14.25" customHeight="1" x14ac:dyDescent="0.3">
      <c r="A360" s="9"/>
    </row>
    <row r="361" spans="1:1" ht="14.25" customHeight="1" x14ac:dyDescent="0.3">
      <c r="A361" s="9"/>
    </row>
    <row r="362" spans="1:1" ht="14.25" customHeight="1" x14ac:dyDescent="0.3">
      <c r="A362" s="9"/>
    </row>
    <row r="363" spans="1:1" ht="14.25" customHeight="1" x14ac:dyDescent="0.3">
      <c r="A363" s="9"/>
    </row>
    <row r="364" spans="1:1" ht="14.25" customHeight="1" x14ac:dyDescent="0.3">
      <c r="A364" s="9"/>
    </row>
    <row r="365" spans="1:1" ht="14.25" customHeight="1" x14ac:dyDescent="0.3">
      <c r="A365" s="9"/>
    </row>
    <row r="366" spans="1:1" ht="14.25" customHeight="1" x14ac:dyDescent="0.3">
      <c r="A366" s="9"/>
    </row>
    <row r="367" spans="1:1" ht="14.25" customHeight="1" x14ac:dyDescent="0.3">
      <c r="A367" s="9"/>
    </row>
    <row r="368" spans="1:1" ht="14.25" customHeight="1" x14ac:dyDescent="0.3">
      <c r="A368" s="9"/>
    </row>
    <row r="369" spans="1:1" ht="14.25" customHeight="1" x14ac:dyDescent="0.3">
      <c r="A369" s="9"/>
    </row>
    <row r="370" spans="1:1" ht="14.25" customHeight="1" x14ac:dyDescent="0.3">
      <c r="A370" s="9"/>
    </row>
    <row r="371" spans="1:1" ht="14.25" customHeight="1" x14ac:dyDescent="0.3">
      <c r="A371" s="9"/>
    </row>
    <row r="372" spans="1:1" ht="14.25" customHeight="1" x14ac:dyDescent="0.3">
      <c r="A372" s="9"/>
    </row>
    <row r="373" spans="1:1" ht="14.25" customHeight="1" x14ac:dyDescent="0.3">
      <c r="A373" s="9"/>
    </row>
    <row r="374" spans="1:1" ht="14.25" customHeight="1" x14ac:dyDescent="0.3">
      <c r="A374" s="9"/>
    </row>
    <row r="375" spans="1:1" ht="14.25" customHeight="1" x14ac:dyDescent="0.3">
      <c r="A375" s="9"/>
    </row>
    <row r="376" spans="1:1" ht="14.25" customHeight="1" x14ac:dyDescent="0.3">
      <c r="A376" s="9"/>
    </row>
    <row r="377" spans="1:1" ht="14.25" customHeight="1" x14ac:dyDescent="0.3">
      <c r="A377" s="9"/>
    </row>
    <row r="378" spans="1:1" ht="14.25" customHeight="1" x14ac:dyDescent="0.3">
      <c r="A378" s="9"/>
    </row>
    <row r="379" spans="1:1" ht="14.25" customHeight="1" x14ac:dyDescent="0.3">
      <c r="A379" s="9"/>
    </row>
    <row r="380" spans="1:1" ht="14.25" customHeight="1" x14ac:dyDescent="0.3">
      <c r="A380" s="9"/>
    </row>
    <row r="381" spans="1:1" ht="14.25" customHeight="1" x14ac:dyDescent="0.3">
      <c r="A381" s="9"/>
    </row>
    <row r="382" spans="1:1" ht="14.25" customHeight="1" x14ac:dyDescent="0.3">
      <c r="A382" s="9"/>
    </row>
    <row r="383" spans="1:1" ht="14.25" customHeight="1" x14ac:dyDescent="0.3">
      <c r="A383" s="9"/>
    </row>
    <row r="384" spans="1:1" ht="14.25" customHeight="1" x14ac:dyDescent="0.3">
      <c r="A384" s="9"/>
    </row>
    <row r="385" spans="1:1" ht="14.25" customHeight="1" x14ac:dyDescent="0.3">
      <c r="A385" s="9"/>
    </row>
    <row r="386" spans="1:1" ht="14.25" customHeight="1" x14ac:dyDescent="0.3">
      <c r="A386" s="9"/>
    </row>
    <row r="387" spans="1:1" ht="14.25" customHeight="1" x14ac:dyDescent="0.3">
      <c r="A387" s="9"/>
    </row>
    <row r="388" spans="1:1" ht="14.25" customHeight="1" x14ac:dyDescent="0.3">
      <c r="A388" s="9"/>
    </row>
    <row r="389" spans="1:1" ht="14.25" customHeight="1" x14ac:dyDescent="0.3">
      <c r="A389" s="9"/>
    </row>
    <row r="390" spans="1:1" ht="14.25" customHeight="1" x14ac:dyDescent="0.3">
      <c r="A390" s="9"/>
    </row>
    <row r="391" spans="1:1" ht="14.25" customHeight="1" x14ac:dyDescent="0.3">
      <c r="A391" s="9"/>
    </row>
    <row r="392" spans="1:1" ht="14.25" customHeight="1" x14ac:dyDescent="0.3">
      <c r="A392" s="9"/>
    </row>
    <row r="393" spans="1:1" ht="14.25" customHeight="1" x14ac:dyDescent="0.3">
      <c r="A393" s="9"/>
    </row>
    <row r="394" spans="1:1" ht="14.25" customHeight="1" x14ac:dyDescent="0.3">
      <c r="A394" s="9"/>
    </row>
    <row r="395" spans="1:1" ht="14.25" customHeight="1" x14ac:dyDescent="0.3">
      <c r="A395" s="9"/>
    </row>
    <row r="396" spans="1:1" ht="14.25" customHeight="1" x14ac:dyDescent="0.3">
      <c r="A396" s="9"/>
    </row>
    <row r="397" spans="1:1" ht="14.25" customHeight="1" x14ac:dyDescent="0.3">
      <c r="A397" s="9"/>
    </row>
    <row r="398" spans="1:1" ht="14.25" customHeight="1" x14ac:dyDescent="0.3">
      <c r="A398" s="9"/>
    </row>
    <row r="399" spans="1:1" ht="14.25" customHeight="1" x14ac:dyDescent="0.3">
      <c r="A399" s="9"/>
    </row>
    <row r="400" spans="1:1" ht="14.25" customHeight="1" x14ac:dyDescent="0.3">
      <c r="A400" s="9"/>
    </row>
    <row r="401" spans="1:1" ht="14.25" customHeight="1" x14ac:dyDescent="0.3">
      <c r="A401" s="9"/>
    </row>
    <row r="402" spans="1:1" ht="14.25" customHeight="1" x14ac:dyDescent="0.3">
      <c r="A402" s="9"/>
    </row>
    <row r="403" spans="1:1" ht="14.25" customHeight="1" x14ac:dyDescent="0.3">
      <c r="A403" s="9"/>
    </row>
    <row r="404" spans="1:1" ht="14.25" customHeight="1" x14ac:dyDescent="0.3">
      <c r="A404" s="9"/>
    </row>
    <row r="405" spans="1:1" ht="14.25" customHeight="1" x14ac:dyDescent="0.3">
      <c r="A405" s="9"/>
    </row>
    <row r="406" spans="1:1" ht="14.25" customHeight="1" x14ac:dyDescent="0.3">
      <c r="A406" s="9"/>
    </row>
    <row r="407" spans="1:1" ht="14.25" customHeight="1" x14ac:dyDescent="0.3">
      <c r="A407" s="9"/>
    </row>
    <row r="408" spans="1:1" ht="14.25" customHeight="1" x14ac:dyDescent="0.3">
      <c r="A408" s="9"/>
    </row>
    <row r="409" spans="1:1" ht="14.25" customHeight="1" x14ac:dyDescent="0.3">
      <c r="A409" s="9"/>
    </row>
    <row r="410" spans="1:1" ht="14.25" customHeight="1" x14ac:dyDescent="0.3">
      <c r="A410" s="9"/>
    </row>
    <row r="411" spans="1:1" ht="14.25" customHeight="1" x14ac:dyDescent="0.3">
      <c r="A411" s="9"/>
    </row>
    <row r="412" spans="1:1" ht="14.25" customHeight="1" x14ac:dyDescent="0.3">
      <c r="A412" s="9"/>
    </row>
    <row r="413" spans="1:1" ht="14.25" customHeight="1" x14ac:dyDescent="0.3">
      <c r="A413" s="9"/>
    </row>
    <row r="414" spans="1:1" ht="14.25" customHeight="1" x14ac:dyDescent="0.3">
      <c r="A414" s="9"/>
    </row>
    <row r="415" spans="1:1" ht="14.25" customHeight="1" x14ac:dyDescent="0.3">
      <c r="A415" s="9"/>
    </row>
    <row r="416" spans="1:1" ht="14.25" customHeight="1" x14ac:dyDescent="0.3">
      <c r="A416" s="9"/>
    </row>
    <row r="417" spans="1:1" ht="14.25" customHeight="1" x14ac:dyDescent="0.3">
      <c r="A417" s="9"/>
    </row>
    <row r="418" spans="1:1" ht="14.25" customHeight="1" x14ac:dyDescent="0.3">
      <c r="A418" s="9"/>
    </row>
    <row r="419" spans="1:1" ht="14.25" customHeight="1" x14ac:dyDescent="0.3">
      <c r="A419" s="9"/>
    </row>
    <row r="420" spans="1:1" ht="14.25" customHeight="1" x14ac:dyDescent="0.3">
      <c r="A420" s="9"/>
    </row>
    <row r="421" spans="1:1" ht="14.25" customHeight="1" x14ac:dyDescent="0.3">
      <c r="A421" s="9"/>
    </row>
    <row r="422" spans="1:1" ht="14.25" customHeight="1" x14ac:dyDescent="0.3">
      <c r="A422" s="9"/>
    </row>
    <row r="423" spans="1:1" ht="14.25" customHeight="1" x14ac:dyDescent="0.3">
      <c r="A423" s="9"/>
    </row>
    <row r="424" spans="1:1" ht="14.25" customHeight="1" x14ac:dyDescent="0.3">
      <c r="A424" s="9"/>
    </row>
    <row r="425" spans="1:1" ht="14.25" customHeight="1" x14ac:dyDescent="0.3">
      <c r="A425" s="9"/>
    </row>
    <row r="426" spans="1:1" ht="14.25" customHeight="1" x14ac:dyDescent="0.3">
      <c r="A426" s="9"/>
    </row>
    <row r="427" spans="1:1" ht="14.25" customHeight="1" x14ac:dyDescent="0.3">
      <c r="A427" s="9"/>
    </row>
    <row r="428" spans="1:1" ht="14.25" customHeight="1" x14ac:dyDescent="0.3">
      <c r="A428" s="9"/>
    </row>
    <row r="429" spans="1:1" ht="14.25" customHeight="1" x14ac:dyDescent="0.3">
      <c r="A429" s="9"/>
    </row>
    <row r="430" spans="1:1" ht="14.25" customHeight="1" x14ac:dyDescent="0.3">
      <c r="A430" s="9"/>
    </row>
    <row r="431" spans="1:1" ht="14.25" customHeight="1" x14ac:dyDescent="0.3">
      <c r="A431" s="9"/>
    </row>
    <row r="432" spans="1:1" ht="14.25" customHeight="1" x14ac:dyDescent="0.3">
      <c r="A432" s="9"/>
    </row>
    <row r="433" spans="1:1" ht="14.25" customHeight="1" x14ac:dyDescent="0.3">
      <c r="A433" s="9"/>
    </row>
    <row r="434" spans="1:1" ht="14.25" customHeight="1" x14ac:dyDescent="0.3">
      <c r="A434" s="9"/>
    </row>
    <row r="435" spans="1:1" ht="14.25" customHeight="1" x14ac:dyDescent="0.3">
      <c r="A435" s="9"/>
    </row>
    <row r="436" spans="1:1" ht="14.25" customHeight="1" x14ac:dyDescent="0.3">
      <c r="A436" s="9"/>
    </row>
    <row r="437" spans="1:1" ht="14.25" customHeight="1" x14ac:dyDescent="0.3">
      <c r="A437" s="9"/>
    </row>
    <row r="438" spans="1:1" ht="14.25" customHeight="1" x14ac:dyDescent="0.3">
      <c r="A438" s="9"/>
    </row>
    <row r="439" spans="1:1" ht="14.25" customHeight="1" x14ac:dyDescent="0.3">
      <c r="A439" s="9"/>
    </row>
    <row r="440" spans="1:1" ht="14.25" customHeight="1" x14ac:dyDescent="0.3">
      <c r="A440" s="9"/>
    </row>
    <row r="441" spans="1:1" ht="14.25" customHeight="1" x14ac:dyDescent="0.3">
      <c r="A441" s="9"/>
    </row>
    <row r="442" spans="1:1" ht="14.25" customHeight="1" x14ac:dyDescent="0.3">
      <c r="A442" s="9"/>
    </row>
    <row r="443" spans="1:1" ht="14.25" customHeight="1" x14ac:dyDescent="0.3">
      <c r="A443" s="9"/>
    </row>
    <row r="444" spans="1:1" ht="14.25" customHeight="1" x14ac:dyDescent="0.3">
      <c r="A444" s="9"/>
    </row>
    <row r="445" spans="1:1" ht="14.25" customHeight="1" x14ac:dyDescent="0.3">
      <c r="A445" s="9"/>
    </row>
    <row r="446" spans="1:1" ht="14.25" customHeight="1" x14ac:dyDescent="0.3">
      <c r="A446" s="9"/>
    </row>
    <row r="447" spans="1:1" ht="14.25" customHeight="1" x14ac:dyDescent="0.3">
      <c r="A447" s="9"/>
    </row>
    <row r="448" spans="1:1" ht="14.25" customHeight="1" x14ac:dyDescent="0.3">
      <c r="A448" s="9"/>
    </row>
    <row r="449" spans="1:1" ht="14.25" customHeight="1" x14ac:dyDescent="0.3">
      <c r="A449" s="9"/>
    </row>
    <row r="450" spans="1:1" ht="14.25" customHeight="1" x14ac:dyDescent="0.3">
      <c r="A450" s="9"/>
    </row>
    <row r="451" spans="1:1" ht="14.25" customHeight="1" x14ac:dyDescent="0.3">
      <c r="A451" s="9"/>
    </row>
    <row r="452" spans="1:1" ht="14.25" customHeight="1" x14ac:dyDescent="0.3">
      <c r="A452" s="9"/>
    </row>
    <row r="453" spans="1:1" ht="14.25" customHeight="1" x14ac:dyDescent="0.3">
      <c r="A453" s="9"/>
    </row>
    <row r="454" spans="1:1" ht="14.25" customHeight="1" x14ac:dyDescent="0.3">
      <c r="A454" s="9"/>
    </row>
    <row r="455" spans="1:1" ht="14.25" customHeight="1" x14ac:dyDescent="0.3">
      <c r="A455" s="9"/>
    </row>
    <row r="456" spans="1:1" ht="14.25" customHeight="1" x14ac:dyDescent="0.3">
      <c r="A456" s="9"/>
    </row>
    <row r="457" spans="1:1" ht="14.25" customHeight="1" x14ac:dyDescent="0.3">
      <c r="A457" s="9"/>
    </row>
    <row r="458" spans="1:1" ht="14.25" customHeight="1" x14ac:dyDescent="0.3">
      <c r="A458" s="9"/>
    </row>
    <row r="459" spans="1:1" ht="14.25" customHeight="1" x14ac:dyDescent="0.3">
      <c r="A459" s="9"/>
    </row>
    <row r="460" spans="1:1" ht="14.25" customHeight="1" x14ac:dyDescent="0.3">
      <c r="A460" s="9"/>
    </row>
    <row r="461" spans="1:1" ht="14.25" customHeight="1" x14ac:dyDescent="0.3">
      <c r="A461" s="9"/>
    </row>
    <row r="462" spans="1:1" ht="14.25" customHeight="1" x14ac:dyDescent="0.3">
      <c r="A462" s="9"/>
    </row>
    <row r="463" spans="1:1" ht="14.25" customHeight="1" x14ac:dyDescent="0.3">
      <c r="A463" s="9"/>
    </row>
    <row r="464" spans="1:1" ht="14.25" customHeight="1" x14ac:dyDescent="0.3">
      <c r="A464" s="9"/>
    </row>
    <row r="465" spans="1:1" ht="14.25" customHeight="1" x14ac:dyDescent="0.3">
      <c r="A465" s="9"/>
    </row>
    <row r="466" spans="1:1" ht="14.25" customHeight="1" x14ac:dyDescent="0.3">
      <c r="A466" s="9"/>
    </row>
    <row r="467" spans="1:1" ht="14.25" customHeight="1" x14ac:dyDescent="0.3">
      <c r="A467" s="9"/>
    </row>
    <row r="468" spans="1:1" ht="14.25" customHeight="1" x14ac:dyDescent="0.3">
      <c r="A468" s="9"/>
    </row>
    <row r="469" spans="1:1" ht="14.25" customHeight="1" x14ac:dyDescent="0.3">
      <c r="A469" s="9"/>
    </row>
    <row r="470" spans="1:1" ht="14.25" customHeight="1" x14ac:dyDescent="0.3">
      <c r="A470" s="9"/>
    </row>
    <row r="471" spans="1:1" ht="14.25" customHeight="1" x14ac:dyDescent="0.3">
      <c r="A471" s="9"/>
    </row>
    <row r="472" spans="1:1" ht="14.25" customHeight="1" x14ac:dyDescent="0.3">
      <c r="A472" s="9"/>
    </row>
    <row r="473" spans="1:1" ht="14.25" customHeight="1" x14ac:dyDescent="0.3">
      <c r="A473" s="9"/>
    </row>
    <row r="474" spans="1:1" ht="14.25" customHeight="1" x14ac:dyDescent="0.3">
      <c r="A474" s="9"/>
    </row>
    <row r="475" spans="1:1" ht="14.25" customHeight="1" x14ac:dyDescent="0.3">
      <c r="A475" s="9"/>
    </row>
    <row r="476" spans="1:1" ht="14.25" customHeight="1" x14ac:dyDescent="0.3">
      <c r="A476" s="9"/>
    </row>
    <row r="477" spans="1:1" ht="14.25" customHeight="1" x14ac:dyDescent="0.3">
      <c r="A477" s="9"/>
    </row>
    <row r="478" spans="1:1" ht="14.25" customHeight="1" x14ac:dyDescent="0.3">
      <c r="A478" s="9"/>
    </row>
    <row r="479" spans="1:1" ht="14.25" customHeight="1" x14ac:dyDescent="0.3">
      <c r="A479" s="9"/>
    </row>
    <row r="480" spans="1:1" ht="14.25" customHeight="1" x14ac:dyDescent="0.3">
      <c r="A480" s="9"/>
    </row>
    <row r="481" spans="1:1" ht="14.25" customHeight="1" x14ac:dyDescent="0.3">
      <c r="A481" s="9"/>
    </row>
    <row r="482" spans="1:1" ht="14.25" customHeight="1" x14ac:dyDescent="0.3">
      <c r="A482" s="9"/>
    </row>
    <row r="483" spans="1:1" ht="14.25" customHeight="1" x14ac:dyDescent="0.3">
      <c r="A483" s="9"/>
    </row>
    <row r="484" spans="1:1" ht="14.25" customHeight="1" x14ac:dyDescent="0.3">
      <c r="A484" s="9"/>
    </row>
    <row r="485" spans="1:1" ht="14.25" customHeight="1" x14ac:dyDescent="0.3">
      <c r="A485" s="9"/>
    </row>
    <row r="486" spans="1:1" ht="14.25" customHeight="1" x14ac:dyDescent="0.3">
      <c r="A486" s="9"/>
    </row>
    <row r="487" spans="1:1" ht="14.25" customHeight="1" x14ac:dyDescent="0.3">
      <c r="A487" s="9"/>
    </row>
    <row r="488" spans="1:1" ht="14.25" customHeight="1" x14ac:dyDescent="0.3">
      <c r="A488" s="9"/>
    </row>
    <row r="489" spans="1:1" ht="14.25" customHeight="1" x14ac:dyDescent="0.3">
      <c r="A489" s="9"/>
    </row>
    <row r="490" spans="1:1" ht="14.25" customHeight="1" x14ac:dyDescent="0.3">
      <c r="A490" s="9"/>
    </row>
    <row r="491" spans="1:1" ht="14.25" customHeight="1" x14ac:dyDescent="0.3">
      <c r="A491" s="9"/>
    </row>
    <row r="492" spans="1:1" ht="14.25" customHeight="1" x14ac:dyDescent="0.3">
      <c r="A492" s="9"/>
    </row>
    <row r="493" spans="1:1" ht="14.25" customHeight="1" x14ac:dyDescent="0.3">
      <c r="A493" s="9"/>
    </row>
    <row r="494" spans="1:1" ht="14.25" customHeight="1" x14ac:dyDescent="0.3">
      <c r="A494" s="9"/>
    </row>
    <row r="495" spans="1:1" ht="14.25" customHeight="1" x14ac:dyDescent="0.3">
      <c r="A495" s="9"/>
    </row>
    <row r="496" spans="1:1" ht="14.25" customHeight="1" x14ac:dyDescent="0.3">
      <c r="A496" s="9"/>
    </row>
    <row r="497" spans="1:1" ht="14.25" customHeight="1" x14ac:dyDescent="0.3">
      <c r="A497" s="9"/>
    </row>
    <row r="498" spans="1:1" ht="14.25" customHeight="1" x14ac:dyDescent="0.3">
      <c r="A498" s="9"/>
    </row>
    <row r="499" spans="1:1" ht="14.25" customHeight="1" x14ac:dyDescent="0.3">
      <c r="A499" s="9"/>
    </row>
    <row r="500" spans="1:1" ht="14.25" customHeight="1" x14ac:dyDescent="0.3">
      <c r="A500" s="9"/>
    </row>
    <row r="501" spans="1:1" ht="14.25" customHeight="1" x14ac:dyDescent="0.3">
      <c r="A501" s="9"/>
    </row>
    <row r="502" spans="1:1" ht="14.25" customHeight="1" x14ac:dyDescent="0.3">
      <c r="A502" s="9"/>
    </row>
    <row r="503" spans="1:1" ht="14.25" customHeight="1" x14ac:dyDescent="0.3">
      <c r="A503" s="9"/>
    </row>
    <row r="504" spans="1:1" ht="14.25" customHeight="1" x14ac:dyDescent="0.3">
      <c r="A504" s="9"/>
    </row>
    <row r="505" spans="1:1" ht="14.25" customHeight="1" x14ac:dyDescent="0.3">
      <c r="A505" s="9"/>
    </row>
    <row r="506" spans="1:1" ht="14.25" customHeight="1" x14ac:dyDescent="0.3">
      <c r="A506" s="9"/>
    </row>
    <row r="507" spans="1:1" ht="14.25" customHeight="1" x14ac:dyDescent="0.3">
      <c r="A507" s="9"/>
    </row>
    <row r="508" spans="1:1" ht="14.25" customHeight="1" x14ac:dyDescent="0.3">
      <c r="A508" s="9"/>
    </row>
    <row r="509" spans="1:1" ht="14.25" customHeight="1" x14ac:dyDescent="0.3">
      <c r="A509" s="9"/>
    </row>
    <row r="510" spans="1:1" ht="14.25" customHeight="1" x14ac:dyDescent="0.3">
      <c r="A510" s="9"/>
    </row>
    <row r="511" spans="1:1" ht="14.25" customHeight="1" x14ac:dyDescent="0.3">
      <c r="A511" s="9"/>
    </row>
    <row r="512" spans="1:1" ht="14.25" customHeight="1" x14ac:dyDescent="0.3">
      <c r="A512" s="9"/>
    </row>
    <row r="513" spans="1:1" ht="14.25" customHeight="1" x14ac:dyDescent="0.3">
      <c r="A513" s="9"/>
    </row>
    <row r="514" spans="1:1" ht="14.25" customHeight="1" x14ac:dyDescent="0.3">
      <c r="A514" s="9"/>
    </row>
    <row r="515" spans="1:1" ht="14.25" customHeight="1" x14ac:dyDescent="0.3">
      <c r="A515" s="9"/>
    </row>
    <row r="516" spans="1:1" ht="14.25" customHeight="1" x14ac:dyDescent="0.3">
      <c r="A516" s="9"/>
    </row>
    <row r="517" spans="1:1" ht="14.25" customHeight="1" x14ac:dyDescent="0.3">
      <c r="A517" s="9"/>
    </row>
    <row r="518" spans="1:1" ht="14.25" customHeight="1" x14ac:dyDescent="0.3">
      <c r="A518" s="9"/>
    </row>
    <row r="519" spans="1:1" ht="14.25" customHeight="1" x14ac:dyDescent="0.3">
      <c r="A519" s="9"/>
    </row>
    <row r="520" spans="1:1" ht="14.25" customHeight="1" x14ac:dyDescent="0.3">
      <c r="A520" s="9"/>
    </row>
    <row r="521" spans="1:1" ht="14.25" customHeight="1" x14ac:dyDescent="0.3">
      <c r="A521" s="9"/>
    </row>
    <row r="522" spans="1:1" ht="14.25" customHeight="1" x14ac:dyDescent="0.3">
      <c r="A522" s="9"/>
    </row>
    <row r="523" spans="1:1" ht="14.25" customHeight="1" x14ac:dyDescent="0.3">
      <c r="A523" s="9"/>
    </row>
    <row r="524" spans="1:1" ht="14.25" customHeight="1" x14ac:dyDescent="0.3">
      <c r="A524" s="9"/>
    </row>
    <row r="525" spans="1:1" ht="14.25" customHeight="1" x14ac:dyDescent="0.3">
      <c r="A525" s="9"/>
    </row>
    <row r="526" spans="1:1" ht="14.25" customHeight="1" x14ac:dyDescent="0.3">
      <c r="A526" s="9"/>
    </row>
    <row r="527" spans="1:1" ht="14.25" customHeight="1" x14ac:dyDescent="0.3">
      <c r="A527" s="9"/>
    </row>
    <row r="528" spans="1:1" ht="14.25" customHeight="1" x14ac:dyDescent="0.3">
      <c r="A528" s="9"/>
    </row>
    <row r="529" spans="1:1" ht="14.25" customHeight="1" x14ac:dyDescent="0.3">
      <c r="A529" s="9"/>
    </row>
    <row r="530" spans="1:1" ht="14.25" customHeight="1" x14ac:dyDescent="0.3">
      <c r="A530" s="9"/>
    </row>
    <row r="531" spans="1:1" ht="14.25" customHeight="1" x14ac:dyDescent="0.3">
      <c r="A531" s="9"/>
    </row>
    <row r="532" spans="1:1" ht="14.25" customHeight="1" x14ac:dyDescent="0.3">
      <c r="A532" s="9"/>
    </row>
    <row r="533" spans="1:1" ht="14.25" customHeight="1" x14ac:dyDescent="0.3">
      <c r="A533" s="9"/>
    </row>
    <row r="534" spans="1:1" ht="14.25" customHeight="1" x14ac:dyDescent="0.3">
      <c r="A534" s="9"/>
    </row>
    <row r="535" spans="1:1" ht="14.25" customHeight="1" x14ac:dyDescent="0.3">
      <c r="A535" s="9"/>
    </row>
    <row r="536" spans="1:1" ht="14.25" customHeight="1" x14ac:dyDescent="0.3">
      <c r="A536" s="9"/>
    </row>
    <row r="537" spans="1:1" ht="14.25" customHeight="1" x14ac:dyDescent="0.3">
      <c r="A537" s="9"/>
    </row>
    <row r="538" spans="1:1" ht="14.25" customHeight="1" x14ac:dyDescent="0.3">
      <c r="A538" s="9"/>
    </row>
    <row r="539" spans="1:1" ht="14.25" customHeight="1" x14ac:dyDescent="0.3">
      <c r="A539" s="9"/>
    </row>
    <row r="540" spans="1:1" ht="14.25" customHeight="1" x14ac:dyDescent="0.3">
      <c r="A540" s="9"/>
    </row>
    <row r="541" spans="1:1" ht="14.25" customHeight="1" x14ac:dyDescent="0.3">
      <c r="A541" s="9"/>
    </row>
    <row r="542" spans="1:1" ht="14.25" customHeight="1" x14ac:dyDescent="0.3">
      <c r="A542" s="9"/>
    </row>
    <row r="543" spans="1:1" ht="14.25" customHeight="1" x14ac:dyDescent="0.3">
      <c r="A543" s="9"/>
    </row>
    <row r="544" spans="1:1" ht="14.25" customHeight="1" x14ac:dyDescent="0.3">
      <c r="A544" s="9"/>
    </row>
    <row r="545" spans="1:1" ht="14.25" customHeight="1" x14ac:dyDescent="0.3">
      <c r="A545" s="9"/>
    </row>
    <row r="546" spans="1:1" ht="14.25" customHeight="1" x14ac:dyDescent="0.3">
      <c r="A546" s="9"/>
    </row>
    <row r="547" spans="1:1" ht="14.25" customHeight="1" x14ac:dyDescent="0.3">
      <c r="A547" s="9"/>
    </row>
    <row r="548" spans="1:1" ht="14.25" customHeight="1" x14ac:dyDescent="0.3">
      <c r="A548" s="9"/>
    </row>
    <row r="549" spans="1:1" ht="14.25" customHeight="1" x14ac:dyDescent="0.3">
      <c r="A549" s="9"/>
    </row>
    <row r="550" spans="1:1" ht="14.25" customHeight="1" x14ac:dyDescent="0.3">
      <c r="A550" s="9"/>
    </row>
    <row r="551" spans="1:1" ht="14.25" customHeight="1" x14ac:dyDescent="0.3">
      <c r="A551" s="9"/>
    </row>
    <row r="552" spans="1:1" ht="14.25" customHeight="1" x14ac:dyDescent="0.3">
      <c r="A552" s="9"/>
    </row>
    <row r="553" spans="1:1" ht="14.25" customHeight="1" x14ac:dyDescent="0.3">
      <c r="A553" s="9"/>
    </row>
    <row r="554" spans="1:1" ht="14.25" customHeight="1" x14ac:dyDescent="0.3">
      <c r="A554" s="9"/>
    </row>
    <row r="555" spans="1:1" ht="14.25" customHeight="1" x14ac:dyDescent="0.3">
      <c r="A555" s="9"/>
    </row>
    <row r="556" spans="1:1" ht="14.25" customHeight="1" x14ac:dyDescent="0.3">
      <c r="A556" s="9"/>
    </row>
    <row r="557" spans="1:1" ht="14.25" customHeight="1" x14ac:dyDescent="0.3">
      <c r="A557" s="9"/>
    </row>
    <row r="558" spans="1:1" ht="14.25" customHeight="1" x14ac:dyDescent="0.3">
      <c r="A558" s="9"/>
    </row>
    <row r="559" spans="1:1" ht="14.25" customHeight="1" x14ac:dyDescent="0.3">
      <c r="A559" s="9"/>
    </row>
    <row r="560" spans="1:1" ht="14.25" customHeight="1" x14ac:dyDescent="0.3">
      <c r="A560" s="9"/>
    </row>
    <row r="561" spans="1:1" ht="14.25" customHeight="1" x14ac:dyDescent="0.3">
      <c r="A561" s="9"/>
    </row>
    <row r="562" spans="1:1" ht="14.25" customHeight="1" x14ac:dyDescent="0.3">
      <c r="A562" s="9"/>
    </row>
    <row r="563" spans="1:1" ht="14.25" customHeight="1" x14ac:dyDescent="0.3">
      <c r="A563" s="9"/>
    </row>
    <row r="564" spans="1:1" ht="14.25" customHeight="1" x14ac:dyDescent="0.3">
      <c r="A564" s="9"/>
    </row>
    <row r="565" spans="1:1" ht="14.25" customHeight="1" x14ac:dyDescent="0.3">
      <c r="A565" s="9"/>
    </row>
    <row r="566" spans="1:1" ht="14.25" customHeight="1" x14ac:dyDescent="0.3">
      <c r="A566" s="9"/>
    </row>
    <row r="567" spans="1:1" ht="14.25" customHeight="1" x14ac:dyDescent="0.3">
      <c r="A567" s="9"/>
    </row>
    <row r="568" spans="1:1" ht="14.25" customHeight="1" x14ac:dyDescent="0.3">
      <c r="A568" s="9"/>
    </row>
    <row r="569" spans="1:1" ht="14.25" customHeight="1" x14ac:dyDescent="0.3">
      <c r="A569" s="9"/>
    </row>
    <row r="570" spans="1:1" ht="14.25" customHeight="1" x14ac:dyDescent="0.3">
      <c r="A570" s="9"/>
    </row>
    <row r="571" spans="1:1" ht="14.25" customHeight="1" x14ac:dyDescent="0.3">
      <c r="A571" s="9"/>
    </row>
    <row r="572" spans="1:1" ht="14.25" customHeight="1" x14ac:dyDescent="0.3">
      <c r="A572" s="9"/>
    </row>
    <row r="573" spans="1:1" ht="14.25" customHeight="1" x14ac:dyDescent="0.3">
      <c r="A573" s="9"/>
    </row>
    <row r="574" spans="1:1" ht="14.25" customHeight="1" x14ac:dyDescent="0.3">
      <c r="A574" s="9"/>
    </row>
    <row r="575" spans="1:1" ht="14.25" customHeight="1" x14ac:dyDescent="0.3">
      <c r="A575" s="9"/>
    </row>
    <row r="576" spans="1:1" ht="14.25" customHeight="1" x14ac:dyDescent="0.3">
      <c r="A576" s="9"/>
    </row>
    <row r="577" spans="1:1" ht="14.25" customHeight="1" x14ac:dyDescent="0.3">
      <c r="A577" s="9"/>
    </row>
    <row r="578" spans="1:1" ht="14.25" customHeight="1" x14ac:dyDescent="0.3">
      <c r="A578" s="9"/>
    </row>
    <row r="579" spans="1:1" ht="14.25" customHeight="1" x14ac:dyDescent="0.3">
      <c r="A579" s="9"/>
    </row>
    <row r="580" spans="1:1" ht="14.25" customHeight="1" x14ac:dyDescent="0.3">
      <c r="A580" s="9"/>
    </row>
    <row r="581" spans="1:1" ht="14.25" customHeight="1" x14ac:dyDescent="0.3">
      <c r="A581" s="9"/>
    </row>
    <row r="582" spans="1:1" ht="14.25" customHeight="1" x14ac:dyDescent="0.3">
      <c r="A582" s="9"/>
    </row>
    <row r="583" spans="1:1" ht="14.25" customHeight="1" x14ac:dyDescent="0.3">
      <c r="A583" s="9"/>
    </row>
    <row r="584" spans="1:1" ht="14.25" customHeight="1" x14ac:dyDescent="0.3">
      <c r="A584" s="9"/>
    </row>
    <row r="585" spans="1:1" ht="14.25" customHeight="1" x14ac:dyDescent="0.3">
      <c r="A585" s="9"/>
    </row>
    <row r="586" spans="1:1" ht="14.25" customHeight="1" x14ac:dyDescent="0.3">
      <c r="A586" s="9"/>
    </row>
    <row r="587" spans="1:1" ht="14.25" customHeight="1" x14ac:dyDescent="0.3">
      <c r="A587" s="9"/>
    </row>
    <row r="588" spans="1:1" ht="14.25" customHeight="1" x14ac:dyDescent="0.3">
      <c r="A588" s="9"/>
    </row>
    <row r="589" spans="1:1" ht="14.25" customHeight="1" x14ac:dyDescent="0.3">
      <c r="A589" s="9"/>
    </row>
    <row r="590" spans="1:1" ht="14.25" customHeight="1" x14ac:dyDescent="0.3">
      <c r="A590" s="9"/>
    </row>
    <row r="591" spans="1:1" ht="14.25" customHeight="1" x14ac:dyDescent="0.3">
      <c r="A591" s="9"/>
    </row>
    <row r="592" spans="1:1" ht="14.25" customHeight="1" x14ac:dyDescent="0.3">
      <c r="A592" s="9"/>
    </row>
    <row r="593" spans="1:1" ht="14.25" customHeight="1" x14ac:dyDescent="0.3">
      <c r="A593" s="9"/>
    </row>
    <row r="594" spans="1:1" ht="14.25" customHeight="1" x14ac:dyDescent="0.3">
      <c r="A594" s="9"/>
    </row>
    <row r="595" spans="1:1" ht="14.25" customHeight="1" x14ac:dyDescent="0.3">
      <c r="A595" s="9"/>
    </row>
    <row r="596" spans="1:1" ht="14.25" customHeight="1" x14ac:dyDescent="0.3">
      <c r="A596" s="9"/>
    </row>
    <row r="597" spans="1:1" ht="14.25" customHeight="1" x14ac:dyDescent="0.3">
      <c r="A597" s="9"/>
    </row>
    <row r="598" spans="1:1" ht="14.25" customHeight="1" x14ac:dyDescent="0.3">
      <c r="A598" s="9"/>
    </row>
    <row r="599" spans="1:1" ht="14.25" customHeight="1" x14ac:dyDescent="0.3">
      <c r="A599" s="9"/>
    </row>
    <row r="600" spans="1:1" ht="14.25" customHeight="1" x14ac:dyDescent="0.3">
      <c r="A600" s="9"/>
    </row>
    <row r="601" spans="1:1" ht="14.25" customHeight="1" x14ac:dyDescent="0.3">
      <c r="A601" s="9"/>
    </row>
    <row r="602" spans="1:1" ht="14.25" customHeight="1" x14ac:dyDescent="0.3">
      <c r="A602" s="9"/>
    </row>
    <row r="603" spans="1:1" ht="14.25" customHeight="1" x14ac:dyDescent="0.3">
      <c r="A603" s="9"/>
    </row>
    <row r="604" spans="1:1" ht="14.25" customHeight="1" x14ac:dyDescent="0.3">
      <c r="A604" s="9"/>
    </row>
    <row r="605" spans="1:1" ht="14.25" customHeight="1" x14ac:dyDescent="0.3">
      <c r="A605" s="9"/>
    </row>
    <row r="606" spans="1:1" ht="14.25" customHeight="1" x14ac:dyDescent="0.3">
      <c r="A606" s="9"/>
    </row>
    <row r="607" spans="1:1" ht="14.25" customHeight="1" x14ac:dyDescent="0.3">
      <c r="A607" s="9"/>
    </row>
    <row r="608" spans="1:1" ht="14.25" customHeight="1" x14ac:dyDescent="0.3">
      <c r="A608" s="9"/>
    </row>
    <row r="609" spans="1:1" ht="14.25" customHeight="1" x14ac:dyDescent="0.3">
      <c r="A609" s="9"/>
    </row>
    <row r="610" spans="1:1" ht="14.25" customHeight="1" x14ac:dyDescent="0.3">
      <c r="A610" s="9"/>
    </row>
    <row r="611" spans="1:1" ht="14.25" customHeight="1" x14ac:dyDescent="0.3">
      <c r="A611" s="9"/>
    </row>
    <row r="612" spans="1:1" ht="14.25" customHeight="1" x14ac:dyDescent="0.3">
      <c r="A612" s="9"/>
    </row>
    <row r="613" spans="1:1" ht="14.25" customHeight="1" x14ac:dyDescent="0.3">
      <c r="A613" s="9"/>
    </row>
    <row r="614" spans="1:1" ht="14.25" customHeight="1" x14ac:dyDescent="0.3">
      <c r="A614" s="9"/>
    </row>
    <row r="615" spans="1:1" ht="14.25" customHeight="1" x14ac:dyDescent="0.3">
      <c r="A615" s="9"/>
    </row>
    <row r="616" spans="1:1" ht="14.25" customHeight="1" x14ac:dyDescent="0.3">
      <c r="A616" s="9"/>
    </row>
    <row r="617" spans="1:1" ht="14.25" customHeight="1" x14ac:dyDescent="0.3">
      <c r="A617" s="9"/>
    </row>
    <row r="618" spans="1:1" ht="14.25" customHeight="1" x14ac:dyDescent="0.3">
      <c r="A618" s="9"/>
    </row>
    <row r="619" spans="1:1" ht="14.25" customHeight="1" x14ac:dyDescent="0.3">
      <c r="A619" s="9"/>
    </row>
    <row r="620" spans="1:1" ht="14.25" customHeight="1" x14ac:dyDescent="0.3">
      <c r="A620" s="9"/>
    </row>
    <row r="621" spans="1:1" ht="14.25" customHeight="1" x14ac:dyDescent="0.3">
      <c r="A621" s="9"/>
    </row>
    <row r="622" spans="1:1" ht="14.25" customHeight="1" x14ac:dyDescent="0.3">
      <c r="A622" s="9"/>
    </row>
    <row r="623" spans="1:1" ht="14.25" customHeight="1" x14ac:dyDescent="0.3">
      <c r="A623" s="9"/>
    </row>
    <row r="624" spans="1:1" ht="14.25" customHeight="1" x14ac:dyDescent="0.3">
      <c r="A624" s="9"/>
    </row>
    <row r="625" spans="1:1" ht="14.25" customHeight="1" x14ac:dyDescent="0.3">
      <c r="A625" s="9"/>
    </row>
    <row r="626" spans="1:1" ht="14.25" customHeight="1" x14ac:dyDescent="0.3">
      <c r="A626" s="9"/>
    </row>
    <row r="627" spans="1:1" ht="14.25" customHeight="1" x14ac:dyDescent="0.3">
      <c r="A627" s="9"/>
    </row>
    <row r="628" spans="1:1" ht="14.25" customHeight="1" x14ac:dyDescent="0.3">
      <c r="A628" s="9"/>
    </row>
    <row r="629" spans="1:1" ht="14.25" customHeight="1" x14ac:dyDescent="0.3">
      <c r="A629" s="9"/>
    </row>
    <row r="630" spans="1:1" ht="14.25" customHeight="1" x14ac:dyDescent="0.3">
      <c r="A630" s="9"/>
    </row>
    <row r="631" spans="1:1" ht="14.25" customHeight="1" x14ac:dyDescent="0.3">
      <c r="A631" s="9"/>
    </row>
    <row r="632" spans="1:1" ht="14.25" customHeight="1" x14ac:dyDescent="0.3">
      <c r="A632" s="9"/>
    </row>
    <row r="633" spans="1:1" ht="14.25" customHeight="1" x14ac:dyDescent="0.3">
      <c r="A633" s="9"/>
    </row>
    <row r="634" spans="1:1" ht="14.25" customHeight="1" x14ac:dyDescent="0.3">
      <c r="A634" s="9"/>
    </row>
    <row r="635" spans="1:1" ht="14.25" customHeight="1" x14ac:dyDescent="0.3">
      <c r="A635" s="9"/>
    </row>
    <row r="636" spans="1:1" ht="14.25" customHeight="1" x14ac:dyDescent="0.3">
      <c r="A636" s="9"/>
    </row>
    <row r="637" spans="1:1" ht="14.25" customHeight="1" x14ac:dyDescent="0.3">
      <c r="A637" s="9"/>
    </row>
    <row r="638" spans="1:1" ht="14.25" customHeight="1" x14ac:dyDescent="0.3">
      <c r="A638" s="9"/>
    </row>
    <row r="639" spans="1:1" ht="14.25" customHeight="1" x14ac:dyDescent="0.3">
      <c r="A639" s="9"/>
    </row>
    <row r="640" spans="1:1" ht="14.25" customHeight="1" x14ac:dyDescent="0.3">
      <c r="A640" s="9"/>
    </row>
    <row r="641" spans="1:1" ht="14.25" customHeight="1" x14ac:dyDescent="0.3">
      <c r="A641" s="9"/>
    </row>
    <row r="642" spans="1:1" ht="14.25" customHeight="1" x14ac:dyDescent="0.3">
      <c r="A642" s="9"/>
    </row>
    <row r="643" spans="1:1" ht="14.25" customHeight="1" x14ac:dyDescent="0.3">
      <c r="A643" s="9"/>
    </row>
    <row r="644" spans="1:1" ht="14.25" customHeight="1" x14ac:dyDescent="0.3">
      <c r="A644" s="9"/>
    </row>
    <row r="645" spans="1:1" ht="14.25" customHeight="1" x14ac:dyDescent="0.3">
      <c r="A645" s="9"/>
    </row>
    <row r="646" spans="1:1" ht="14.25" customHeight="1" x14ac:dyDescent="0.3">
      <c r="A646" s="9"/>
    </row>
    <row r="647" spans="1:1" ht="14.25" customHeight="1" x14ac:dyDescent="0.3">
      <c r="A647" s="9"/>
    </row>
    <row r="648" spans="1:1" ht="14.25" customHeight="1" x14ac:dyDescent="0.3">
      <c r="A648" s="9"/>
    </row>
    <row r="649" spans="1:1" ht="14.25" customHeight="1" x14ac:dyDescent="0.3">
      <c r="A649" s="9"/>
    </row>
    <row r="650" spans="1:1" ht="14.25" customHeight="1" x14ac:dyDescent="0.3">
      <c r="A650" s="9"/>
    </row>
    <row r="651" spans="1:1" ht="14.25" customHeight="1" x14ac:dyDescent="0.3">
      <c r="A651" s="9"/>
    </row>
    <row r="652" spans="1:1" ht="14.25" customHeight="1" x14ac:dyDescent="0.3">
      <c r="A652" s="9"/>
    </row>
    <row r="653" spans="1:1" ht="14.25" customHeight="1" x14ac:dyDescent="0.3">
      <c r="A653" s="9"/>
    </row>
    <row r="654" spans="1:1" ht="14.25" customHeight="1" x14ac:dyDescent="0.3">
      <c r="A654" s="9"/>
    </row>
    <row r="655" spans="1:1" ht="14.25" customHeight="1" x14ac:dyDescent="0.3">
      <c r="A655" s="9"/>
    </row>
    <row r="656" spans="1:1" ht="14.25" customHeight="1" x14ac:dyDescent="0.3">
      <c r="A656" s="9"/>
    </row>
    <row r="657" spans="1:1" ht="14.25" customHeight="1" x14ac:dyDescent="0.3">
      <c r="A657" s="9"/>
    </row>
    <row r="658" spans="1:1" ht="14.25" customHeight="1" x14ac:dyDescent="0.3">
      <c r="A658" s="9"/>
    </row>
    <row r="659" spans="1:1" ht="14.25" customHeight="1" x14ac:dyDescent="0.3">
      <c r="A659" s="9"/>
    </row>
    <row r="660" spans="1:1" ht="14.25" customHeight="1" x14ac:dyDescent="0.3">
      <c r="A660" s="9"/>
    </row>
    <row r="661" spans="1:1" ht="14.25" customHeight="1" x14ac:dyDescent="0.3">
      <c r="A661" s="9"/>
    </row>
    <row r="662" spans="1:1" ht="14.25" customHeight="1" x14ac:dyDescent="0.3">
      <c r="A662" s="9"/>
    </row>
    <row r="663" spans="1:1" ht="14.25" customHeight="1" x14ac:dyDescent="0.3">
      <c r="A663" s="9"/>
    </row>
    <row r="664" spans="1:1" ht="14.25" customHeight="1" x14ac:dyDescent="0.3">
      <c r="A664" s="9"/>
    </row>
    <row r="665" spans="1:1" ht="14.25" customHeight="1" x14ac:dyDescent="0.3">
      <c r="A665" s="9"/>
    </row>
    <row r="666" spans="1:1" ht="14.25" customHeight="1" x14ac:dyDescent="0.3">
      <c r="A666" s="9"/>
    </row>
    <row r="667" spans="1:1" ht="14.25" customHeight="1" x14ac:dyDescent="0.3">
      <c r="A667" s="9"/>
    </row>
    <row r="668" spans="1:1" ht="14.25" customHeight="1" x14ac:dyDescent="0.3">
      <c r="A668" s="9"/>
    </row>
    <row r="669" spans="1:1" ht="14.25" customHeight="1" x14ac:dyDescent="0.3">
      <c r="A669" s="9"/>
    </row>
    <row r="670" spans="1:1" ht="14.25" customHeight="1" x14ac:dyDescent="0.3">
      <c r="A670" s="9"/>
    </row>
    <row r="671" spans="1:1" ht="14.25" customHeight="1" x14ac:dyDescent="0.3">
      <c r="A671" s="9"/>
    </row>
    <row r="672" spans="1:1" ht="14.25" customHeight="1" x14ac:dyDescent="0.3">
      <c r="A672" s="9"/>
    </row>
    <row r="673" spans="1:1" ht="14.25" customHeight="1" x14ac:dyDescent="0.3">
      <c r="A673" s="9"/>
    </row>
    <row r="674" spans="1:1" ht="14.25" customHeight="1" x14ac:dyDescent="0.3">
      <c r="A674" s="9"/>
    </row>
    <row r="675" spans="1:1" ht="14.25" customHeight="1" x14ac:dyDescent="0.3">
      <c r="A675" s="9"/>
    </row>
    <row r="676" spans="1:1" ht="14.25" customHeight="1" x14ac:dyDescent="0.3">
      <c r="A676" s="9"/>
    </row>
    <row r="677" spans="1:1" ht="14.25" customHeight="1" x14ac:dyDescent="0.3">
      <c r="A677" s="9"/>
    </row>
    <row r="678" spans="1:1" ht="14.25" customHeight="1" x14ac:dyDescent="0.3">
      <c r="A678" s="9"/>
    </row>
    <row r="679" spans="1:1" ht="14.25" customHeight="1" x14ac:dyDescent="0.3">
      <c r="A679" s="9"/>
    </row>
    <row r="680" spans="1:1" ht="14.25" customHeight="1" x14ac:dyDescent="0.3">
      <c r="A680" s="9"/>
    </row>
    <row r="681" spans="1:1" ht="14.25" customHeight="1" x14ac:dyDescent="0.3">
      <c r="A681" s="9"/>
    </row>
    <row r="682" spans="1:1" ht="14.25" customHeight="1" x14ac:dyDescent="0.3">
      <c r="A682" s="9"/>
    </row>
    <row r="683" spans="1:1" ht="14.25" customHeight="1" x14ac:dyDescent="0.3">
      <c r="A683" s="9"/>
    </row>
    <row r="684" spans="1:1" ht="14.25" customHeight="1" x14ac:dyDescent="0.3">
      <c r="A684" s="9"/>
    </row>
    <row r="685" spans="1:1" ht="14.25" customHeight="1" x14ac:dyDescent="0.3">
      <c r="A685" s="9"/>
    </row>
    <row r="686" spans="1:1" ht="14.25" customHeight="1" x14ac:dyDescent="0.3">
      <c r="A686" s="9"/>
    </row>
    <row r="687" spans="1:1" ht="14.25" customHeight="1" x14ac:dyDescent="0.3">
      <c r="A687" s="9"/>
    </row>
    <row r="688" spans="1:1" ht="14.25" customHeight="1" x14ac:dyDescent="0.3">
      <c r="A688" s="9"/>
    </row>
    <row r="689" spans="1:1" ht="14.25" customHeight="1" x14ac:dyDescent="0.3">
      <c r="A689" s="9"/>
    </row>
    <row r="690" spans="1:1" ht="14.25" customHeight="1" x14ac:dyDescent="0.3">
      <c r="A690" s="9"/>
    </row>
    <row r="691" spans="1:1" ht="14.25" customHeight="1" x14ac:dyDescent="0.3">
      <c r="A691" s="9"/>
    </row>
    <row r="692" spans="1:1" ht="14.25" customHeight="1" x14ac:dyDescent="0.3">
      <c r="A692" s="9"/>
    </row>
    <row r="693" spans="1:1" ht="14.25" customHeight="1" x14ac:dyDescent="0.3">
      <c r="A693" s="9"/>
    </row>
    <row r="694" spans="1:1" ht="14.25" customHeight="1" x14ac:dyDescent="0.3">
      <c r="A694" s="9"/>
    </row>
    <row r="695" spans="1:1" ht="14.25" customHeight="1" x14ac:dyDescent="0.3">
      <c r="A695" s="9"/>
    </row>
    <row r="696" spans="1:1" ht="14.25" customHeight="1" x14ac:dyDescent="0.3">
      <c r="A696" s="9"/>
    </row>
    <row r="697" spans="1:1" ht="14.25" customHeight="1" x14ac:dyDescent="0.3">
      <c r="A697" s="9"/>
    </row>
    <row r="698" spans="1:1" ht="14.25" customHeight="1" x14ac:dyDescent="0.3">
      <c r="A698" s="9"/>
    </row>
    <row r="699" spans="1:1" ht="14.25" customHeight="1" x14ac:dyDescent="0.3">
      <c r="A699" s="9"/>
    </row>
    <row r="700" spans="1:1" ht="14.25" customHeight="1" x14ac:dyDescent="0.3">
      <c r="A700" s="9"/>
    </row>
    <row r="701" spans="1:1" ht="14.25" customHeight="1" x14ac:dyDescent="0.3">
      <c r="A701" s="9"/>
    </row>
    <row r="702" spans="1:1" ht="14.25" customHeight="1" x14ac:dyDescent="0.3">
      <c r="A702" s="9"/>
    </row>
    <row r="703" spans="1:1" ht="14.25" customHeight="1" x14ac:dyDescent="0.3">
      <c r="A703" s="9"/>
    </row>
    <row r="704" spans="1:1" ht="14.25" customHeight="1" x14ac:dyDescent="0.3">
      <c r="A704" s="9"/>
    </row>
    <row r="705" spans="1:1" ht="14.25" customHeight="1" x14ac:dyDescent="0.3">
      <c r="A705" s="9"/>
    </row>
    <row r="706" spans="1:1" ht="14.25" customHeight="1" x14ac:dyDescent="0.3">
      <c r="A706" s="9"/>
    </row>
    <row r="707" spans="1:1" ht="14.25" customHeight="1" x14ac:dyDescent="0.3">
      <c r="A707" s="9"/>
    </row>
    <row r="708" spans="1:1" ht="14.25" customHeight="1" x14ac:dyDescent="0.3">
      <c r="A708" s="9"/>
    </row>
    <row r="709" spans="1:1" ht="14.25" customHeight="1" x14ac:dyDescent="0.3">
      <c r="A709" s="9"/>
    </row>
    <row r="710" spans="1:1" ht="14.25" customHeight="1" x14ac:dyDescent="0.3">
      <c r="A710" s="9"/>
    </row>
    <row r="711" spans="1:1" ht="14.25" customHeight="1" x14ac:dyDescent="0.3">
      <c r="A711" s="9"/>
    </row>
    <row r="712" spans="1:1" ht="14.25" customHeight="1" x14ac:dyDescent="0.3">
      <c r="A712" s="9"/>
    </row>
    <row r="713" spans="1:1" ht="14.25" customHeight="1" x14ac:dyDescent="0.3">
      <c r="A713" s="9"/>
    </row>
    <row r="714" spans="1:1" ht="14.25" customHeight="1" x14ac:dyDescent="0.3">
      <c r="A714" s="9"/>
    </row>
    <row r="715" spans="1:1" ht="14.25" customHeight="1" x14ac:dyDescent="0.3">
      <c r="A715" s="9"/>
    </row>
    <row r="716" spans="1:1" ht="14.25" customHeight="1" x14ac:dyDescent="0.3">
      <c r="A716" s="9"/>
    </row>
    <row r="717" spans="1:1" ht="14.25" customHeight="1" x14ac:dyDescent="0.3">
      <c r="A717" s="9"/>
    </row>
    <row r="718" spans="1:1" ht="14.25" customHeight="1" x14ac:dyDescent="0.3">
      <c r="A718" s="9"/>
    </row>
    <row r="719" spans="1:1" ht="14.25" customHeight="1" x14ac:dyDescent="0.3">
      <c r="A719" s="9"/>
    </row>
    <row r="720" spans="1:1" ht="14.25" customHeight="1" x14ac:dyDescent="0.3">
      <c r="A720" s="9"/>
    </row>
    <row r="721" spans="1:1" ht="14.25" customHeight="1" x14ac:dyDescent="0.3">
      <c r="A721" s="9"/>
    </row>
    <row r="722" spans="1:1" ht="14.25" customHeight="1" x14ac:dyDescent="0.3">
      <c r="A722" s="9"/>
    </row>
    <row r="723" spans="1:1" ht="14.25" customHeight="1" x14ac:dyDescent="0.3">
      <c r="A723" s="9"/>
    </row>
    <row r="724" spans="1:1" ht="14.25" customHeight="1" x14ac:dyDescent="0.3">
      <c r="A724" s="9"/>
    </row>
    <row r="725" spans="1:1" ht="14.25" customHeight="1" x14ac:dyDescent="0.3">
      <c r="A725" s="9"/>
    </row>
    <row r="726" spans="1:1" ht="14.25" customHeight="1" x14ac:dyDescent="0.3">
      <c r="A726" s="9"/>
    </row>
    <row r="727" spans="1:1" ht="14.25" customHeight="1" x14ac:dyDescent="0.3">
      <c r="A727" s="9"/>
    </row>
    <row r="728" spans="1:1" ht="14.25" customHeight="1" x14ac:dyDescent="0.3">
      <c r="A728" s="9"/>
    </row>
    <row r="729" spans="1:1" ht="14.25" customHeight="1" x14ac:dyDescent="0.3">
      <c r="A729" s="9"/>
    </row>
    <row r="730" spans="1:1" ht="14.25" customHeight="1" x14ac:dyDescent="0.3">
      <c r="A730" s="9"/>
    </row>
    <row r="731" spans="1:1" ht="14.25" customHeight="1" x14ac:dyDescent="0.3">
      <c r="A731" s="9"/>
    </row>
    <row r="732" spans="1:1" ht="14.25" customHeight="1" x14ac:dyDescent="0.3">
      <c r="A732" s="9"/>
    </row>
    <row r="733" spans="1:1" ht="14.25" customHeight="1" x14ac:dyDescent="0.3">
      <c r="A733" s="9"/>
    </row>
    <row r="734" spans="1:1" ht="14.25" customHeight="1" x14ac:dyDescent="0.3">
      <c r="A734" s="9"/>
    </row>
    <row r="735" spans="1:1" ht="14.25" customHeight="1" x14ac:dyDescent="0.3">
      <c r="A735" s="9"/>
    </row>
    <row r="736" spans="1:1" ht="14.25" customHeight="1" x14ac:dyDescent="0.3">
      <c r="A736" s="9"/>
    </row>
    <row r="737" spans="1:1" ht="14.25" customHeight="1" x14ac:dyDescent="0.3">
      <c r="A737" s="9"/>
    </row>
    <row r="738" spans="1:1" ht="14.25" customHeight="1" x14ac:dyDescent="0.3">
      <c r="A738" s="9"/>
    </row>
    <row r="739" spans="1:1" ht="14.25" customHeight="1" x14ac:dyDescent="0.3">
      <c r="A739" s="9"/>
    </row>
    <row r="740" spans="1:1" ht="14.25" customHeight="1" x14ac:dyDescent="0.3">
      <c r="A740" s="9"/>
    </row>
    <row r="741" spans="1:1" ht="14.25" customHeight="1" x14ac:dyDescent="0.3">
      <c r="A741" s="9"/>
    </row>
    <row r="742" spans="1:1" ht="14.25" customHeight="1" x14ac:dyDescent="0.3">
      <c r="A742" s="9"/>
    </row>
    <row r="743" spans="1:1" ht="14.25" customHeight="1" x14ac:dyDescent="0.3">
      <c r="A743" s="9"/>
    </row>
    <row r="744" spans="1:1" ht="14.25" customHeight="1" x14ac:dyDescent="0.3">
      <c r="A744" s="9"/>
    </row>
    <row r="745" spans="1:1" ht="14.25" customHeight="1" x14ac:dyDescent="0.3">
      <c r="A745" s="9"/>
    </row>
    <row r="746" spans="1:1" ht="14.25" customHeight="1" x14ac:dyDescent="0.3">
      <c r="A746" s="9"/>
    </row>
    <row r="747" spans="1:1" ht="14.25" customHeight="1" x14ac:dyDescent="0.3">
      <c r="A747" s="9"/>
    </row>
    <row r="748" spans="1:1" ht="14.25" customHeight="1" x14ac:dyDescent="0.3">
      <c r="A748" s="9"/>
    </row>
    <row r="749" spans="1:1" ht="14.25" customHeight="1" x14ac:dyDescent="0.3">
      <c r="A749" s="9"/>
    </row>
    <row r="750" spans="1:1" ht="14.25" customHeight="1" x14ac:dyDescent="0.3">
      <c r="A750" s="9"/>
    </row>
    <row r="751" spans="1:1" ht="14.25" customHeight="1" x14ac:dyDescent="0.3">
      <c r="A751" s="9"/>
    </row>
    <row r="752" spans="1:1" ht="14.25" customHeight="1" x14ac:dyDescent="0.3">
      <c r="A752" s="9"/>
    </row>
    <row r="753" spans="1:1" ht="14.25" customHeight="1" x14ac:dyDescent="0.3">
      <c r="A753" s="9"/>
    </row>
    <row r="754" spans="1:1" ht="14.25" customHeight="1" x14ac:dyDescent="0.3">
      <c r="A754" s="9"/>
    </row>
    <row r="755" spans="1:1" ht="14.25" customHeight="1" x14ac:dyDescent="0.3">
      <c r="A755" s="9"/>
    </row>
    <row r="756" spans="1:1" ht="14.25" customHeight="1" x14ac:dyDescent="0.3">
      <c r="A756" s="9"/>
    </row>
    <row r="757" spans="1:1" ht="14.25" customHeight="1" x14ac:dyDescent="0.3">
      <c r="A757" s="9"/>
    </row>
    <row r="758" spans="1:1" ht="14.25" customHeight="1" x14ac:dyDescent="0.3">
      <c r="A758" s="9"/>
    </row>
    <row r="759" spans="1:1" ht="14.25" customHeight="1" x14ac:dyDescent="0.3">
      <c r="A759" s="9"/>
    </row>
    <row r="760" spans="1:1" ht="14.25" customHeight="1" x14ac:dyDescent="0.3">
      <c r="A760" s="9"/>
    </row>
    <row r="761" spans="1:1" ht="14.25" customHeight="1" x14ac:dyDescent="0.3">
      <c r="A761" s="9"/>
    </row>
    <row r="762" spans="1:1" ht="14.25" customHeight="1" x14ac:dyDescent="0.3">
      <c r="A762" s="9"/>
    </row>
    <row r="763" spans="1:1" ht="14.25" customHeight="1" x14ac:dyDescent="0.3">
      <c r="A763" s="9"/>
    </row>
    <row r="764" spans="1:1" ht="14.25" customHeight="1" x14ac:dyDescent="0.3">
      <c r="A764" s="9"/>
    </row>
    <row r="765" spans="1:1" ht="14.25" customHeight="1" x14ac:dyDescent="0.3">
      <c r="A765" s="9"/>
    </row>
    <row r="766" spans="1:1" ht="14.25" customHeight="1" x14ac:dyDescent="0.3">
      <c r="A766" s="9"/>
    </row>
    <row r="767" spans="1:1" ht="14.25" customHeight="1" x14ac:dyDescent="0.3">
      <c r="A767" s="9"/>
    </row>
    <row r="768" spans="1:1" ht="14.25" customHeight="1" x14ac:dyDescent="0.3">
      <c r="A768" s="9"/>
    </row>
    <row r="769" spans="1:1" ht="14.25" customHeight="1" x14ac:dyDescent="0.3">
      <c r="A769" s="9"/>
    </row>
    <row r="770" spans="1:1" ht="14.25" customHeight="1" x14ac:dyDescent="0.3">
      <c r="A770" s="9"/>
    </row>
    <row r="771" spans="1:1" ht="14.25" customHeight="1" x14ac:dyDescent="0.3">
      <c r="A771" s="9"/>
    </row>
    <row r="772" spans="1:1" ht="14.25" customHeight="1" x14ac:dyDescent="0.3">
      <c r="A772" s="9"/>
    </row>
    <row r="773" spans="1:1" ht="14.25" customHeight="1" x14ac:dyDescent="0.3">
      <c r="A773" s="9"/>
    </row>
    <row r="774" spans="1:1" ht="14.25" customHeight="1" x14ac:dyDescent="0.3">
      <c r="A774" s="9"/>
    </row>
    <row r="775" spans="1:1" ht="14.25" customHeight="1" x14ac:dyDescent="0.3">
      <c r="A775" s="9"/>
    </row>
    <row r="776" spans="1:1" ht="14.25" customHeight="1" x14ac:dyDescent="0.3">
      <c r="A776" s="9"/>
    </row>
    <row r="777" spans="1:1" ht="14.25" customHeight="1" x14ac:dyDescent="0.3">
      <c r="A777" s="9"/>
    </row>
    <row r="778" spans="1:1" ht="14.25" customHeight="1" x14ac:dyDescent="0.3">
      <c r="A778" s="9"/>
    </row>
    <row r="779" spans="1:1" ht="14.25" customHeight="1" x14ac:dyDescent="0.3">
      <c r="A779" s="9"/>
    </row>
    <row r="780" spans="1:1" ht="14.25" customHeight="1" x14ac:dyDescent="0.3">
      <c r="A780" s="9"/>
    </row>
    <row r="781" spans="1:1" ht="14.25" customHeight="1" x14ac:dyDescent="0.3">
      <c r="A781" s="9"/>
    </row>
    <row r="782" spans="1:1" ht="14.25" customHeight="1" x14ac:dyDescent="0.3">
      <c r="A782" s="9"/>
    </row>
    <row r="783" spans="1:1" ht="14.25" customHeight="1" x14ac:dyDescent="0.3">
      <c r="A783" s="9"/>
    </row>
    <row r="784" spans="1:1" ht="14.25" customHeight="1" x14ac:dyDescent="0.3">
      <c r="A784" s="9"/>
    </row>
    <row r="785" spans="1:1" ht="14.25" customHeight="1" x14ac:dyDescent="0.3">
      <c r="A785" s="9"/>
    </row>
    <row r="786" spans="1:1" ht="14.25" customHeight="1" x14ac:dyDescent="0.3">
      <c r="A786" s="9"/>
    </row>
    <row r="787" spans="1:1" ht="14.25" customHeight="1" x14ac:dyDescent="0.3">
      <c r="A787" s="9"/>
    </row>
    <row r="788" spans="1:1" ht="14.25" customHeight="1" x14ac:dyDescent="0.3">
      <c r="A788" s="9"/>
    </row>
    <row r="789" spans="1:1" ht="14.25" customHeight="1" x14ac:dyDescent="0.3">
      <c r="A789" s="9"/>
    </row>
    <row r="790" spans="1:1" ht="14.25" customHeight="1" x14ac:dyDescent="0.3">
      <c r="A790" s="9"/>
    </row>
    <row r="791" spans="1:1" ht="14.25" customHeight="1" x14ac:dyDescent="0.3">
      <c r="A791" s="9"/>
    </row>
    <row r="792" spans="1:1" ht="14.25" customHeight="1" x14ac:dyDescent="0.3">
      <c r="A792" s="9"/>
    </row>
    <row r="793" spans="1:1" ht="14.25" customHeight="1" x14ac:dyDescent="0.3">
      <c r="A793" s="9"/>
    </row>
    <row r="794" spans="1:1" ht="14.25" customHeight="1" x14ac:dyDescent="0.3">
      <c r="A794" s="9"/>
    </row>
    <row r="795" spans="1:1" ht="14.25" customHeight="1" x14ac:dyDescent="0.3">
      <c r="A795" s="9"/>
    </row>
    <row r="796" spans="1:1" ht="14.25" customHeight="1" x14ac:dyDescent="0.3">
      <c r="A796" s="9"/>
    </row>
    <row r="797" spans="1:1" ht="14.25" customHeight="1" x14ac:dyDescent="0.3">
      <c r="A797" s="9"/>
    </row>
    <row r="798" spans="1:1" ht="14.25" customHeight="1" x14ac:dyDescent="0.3">
      <c r="A798" s="9"/>
    </row>
    <row r="799" spans="1:1" ht="14.25" customHeight="1" x14ac:dyDescent="0.3">
      <c r="A799" s="9"/>
    </row>
    <row r="800" spans="1:1" ht="14.25" customHeight="1" x14ac:dyDescent="0.3">
      <c r="A800" s="9"/>
    </row>
    <row r="801" spans="1:1" ht="14.25" customHeight="1" x14ac:dyDescent="0.3">
      <c r="A801" s="9"/>
    </row>
    <row r="802" spans="1:1" ht="14.25" customHeight="1" x14ac:dyDescent="0.3">
      <c r="A802" s="9"/>
    </row>
    <row r="803" spans="1:1" ht="14.25" customHeight="1" x14ac:dyDescent="0.3">
      <c r="A803" s="9"/>
    </row>
    <row r="804" spans="1:1" ht="14.25" customHeight="1" x14ac:dyDescent="0.3">
      <c r="A804" s="9"/>
    </row>
    <row r="805" spans="1:1" ht="14.25" customHeight="1" x14ac:dyDescent="0.3">
      <c r="A805" s="9"/>
    </row>
    <row r="806" spans="1:1" ht="14.25" customHeight="1" x14ac:dyDescent="0.3">
      <c r="A806" s="9"/>
    </row>
    <row r="807" spans="1:1" ht="14.25" customHeight="1" x14ac:dyDescent="0.3">
      <c r="A807" s="9"/>
    </row>
    <row r="808" spans="1:1" ht="14.25" customHeight="1" x14ac:dyDescent="0.3">
      <c r="A808" s="9"/>
    </row>
    <row r="809" spans="1:1" ht="14.25" customHeight="1" x14ac:dyDescent="0.3">
      <c r="A809" s="9"/>
    </row>
    <row r="810" spans="1:1" ht="14.25" customHeight="1" x14ac:dyDescent="0.3">
      <c r="A810" s="9"/>
    </row>
    <row r="811" spans="1:1" ht="14.25" customHeight="1" x14ac:dyDescent="0.3">
      <c r="A811" s="9"/>
    </row>
    <row r="812" spans="1:1" ht="14.25" customHeight="1" x14ac:dyDescent="0.3">
      <c r="A812" s="9"/>
    </row>
    <row r="813" spans="1:1" ht="14.25" customHeight="1" x14ac:dyDescent="0.3">
      <c r="A813" s="9"/>
    </row>
    <row r="814" spans="1:1" ht="14.25" customHeight="1" x14ac:dyDescent="0.3">
      <c r="A814" s="9"/>
    </row>
    <row r="815" spans="1:1" ht="14.25" customHeight="1" x14ac:dyDescent="0.3">
      <c r="A815" s="9"/>
    </row>
    <row r="816" spans="1:1" ht="14.25" customHeight="1" x14ac:dyDescent="0.3">
      <c r="A816" s="9"/>
    </row>
    <row r="817" spans="1:1" ht="14.25" customHeight="1" x14ac:dyDescent="0.3">
      <c r="A817" s="9"/>
    </row>
    <row r="818" spans="1:1" ht="14.25" customHeight="1" x14ac:dyDescent="0.3">
      <c r="A818" s="9"/>
    </row>
    <row r="819" spans="1:1" ht="14.25" customHeight="1" x14ac:dyDescent="0.3">
      <c r="A819" s="9"/>
    </row>
    <row r="820" spans="1:1" ht="14.25" customHeight="1" x14ac:dyDescent="0.3">
      <c r="A820" s="9"/>
    </row>
    <row r="821" spans="1:1" ht="14.25" customHeight="1" x14ac:dyDescent="0.3">
      <c r="A821" s="9"/>
    </row>
    <row r="822" spans="1:1" ht="14.25" customHeight="1" x14ac:dyDescent="0.3">
      <c r="A822" s="9"/>
    </row>
    <row r="823" spans="1:1" ht="14.25" customHeight="1" x14ac:dyDescent="0.3">
      <c r="A823" s="9"/>
    </row>
    <row r="824" spans="1:1" ht="14.25" customHeight="1" x14ac:dyDescent="0.3">
      <c r="A824" s="9"/>
    </row>
    <row r="825" spans="1:1" ht="14.25" customHeight="1" x14ac:dyDescent="0.3">
      <c r="A825" s="9"/>
    </row>
    <row r="826" spans="1:1" ht="14.25" customHeight="1" x14ac:dyDescent="0.3">
      <c r="A826" s="9"/>
    </row>
    <row r="827" spans="1:1" ht="14.25" customHeight="1" x14ac:dyDescent="0.3">
      <c r="A827" s="9"/>
    </row>
    <row r="828" spans="1:1" ht="14.25" customHeight="1" x14ac:dyDescent="0.3">
      <c r="A828" s="9"/>
    </row>
    <row r="829" spans="1:1" ht="14.25" customHeight="1" x14ac:dyDescent="0.3">
      <c r="A829" s="9"/>
    </row>
    <row r="830" spans="1:1" ht="14.25" customHeight="1" x14ac:dyDescent="0.3">
      <c r="A830" s="9"/>
    </row>
    <row r="831" spans="1:1" ht="14.25" customHeight="1" x14ac:dyDescent="0.3">
      <c r="A831" s="9"/>
    </row>
    <row r="832" spans="1:1" ht="14.25" customHeight="1" x14ac:dyDescent="0.3">
      <c r="A832" s="9"/>
    </row>
    <row r="833" spans="1:1" ht="14.25" customHeight="1" x14ac:dyDescent="0.3">
      <c r="A833" s="9"/>
    </row>
    <row r="834" spans="1:1" ht="14.25" customHeight="1" x14ac:dyDescent="0.3">
      <c r="A834" s="9"/>
    </row>
    <row r="835" spans="1:1" ht="14.25" customHeight="1" x14ac:dyDescent="0.3">
      <c r="A835" s="9"/>
    </row>
    <row r="836" spans="1:1" ht="14.25" customHeight="1" x14ac:dyDescent="0.3">
      <c r="A836" s="9"/>
    </row>
    <row r="837" spans="1:1" ht="14.25" customHeight="1" x14ac:dyDescent="0.3">
      <c r="A837" s="9"/>
    </row>
    <row r="838" spans="1:1" ht="14.25" customHeight="1" x14ac:dyDescent="0.3">
      <c r="A838" s="9"/>
    </row>
    <row r="839" spans="1:1" ht="14.25" customHeight="1" x14ac:dyDescent="0.3">
      <c r="A839" s="9"/>
    </row>
    <row r="840" spans="1:1" ht="14.25" customHeight="1" x14ac:dyDescent="0.3">
      <c r="A840" s="9"/>
    </row>
    <row r="841" spans="1:1" ht="14.25" customHeight="1" x14ac:dyDescent="0.3">
      <c r="A841" s="9"/>
    </row>
    <row r="842" spans="1:1" ht="14.25" customHeight="1" x14ac:dyDescent="0.3">
      <c r="A842" s="9"/>
    </row>
    <row r="843" spans="1:1" ht="14.25" customHeight="1" x14ac:dyDescent="0.3">
      <c r="A843" s="9"/>
    </row>
    <row r="844" spans="1:1" ht="14.25" customHeight="1" x14ac:dyDescent="0.3">
      <c r="A844" s="9"/>
    </row>
    <row r="845" spans="1:1" ht="14.25" customHeight="1" x14ac:dyDescent="0.3">
      <c r="A845" s="9"/>
    </row>
    <row r="846" spans="1:1" ht="14.25" customHeight="1" x14ac:dyDescent="0.3">
      <c r="A846" s="9"/>
    </row>
    <row r="847" spans="1:1" ht="14.25" customHeight="1" x14ac:dyDescent="0.3">
      <c r="A847" s="9"/>
    </row>
    <row r="848" spans="1:1" ht="14.25" customHeight="1" x14ac:dyDescent="0.3">
      <c r="A848" s="9"/>
    </row>
    <row r="849" spans="1:1" ht="14.25" customHeight="1" x14ac:dyDescent="0.3">
      <c r="A849" s="9"/>
    </row>
    <row r="850" spans="1:1" ht="14.25" customHeight="1" x14ac:dyDescent="0.3">
      <c r="A850" s="9"/>
    </row>
    <row r="851" spans="1:1" ht="14.25" customHeight="1" x14ac:dyDescent="0.3">
      <c r="A851" s="9"/>
    </row>
    <row r="852" spans="1:1" ht="14.25" customHeight="1" x14ac:dyDescent="0.3">
      <c r="A852" s="9"/>
    </row>
    <row r="853" spans="1:1" ht="14.25" customHeight="1" x14ac:dyDescent="0.3">
      <c r="A853" s="9"/>
    </row>
    <row r="854" spans="1:1" ht="14.25" customHeight="1" x14ac:dyDescent="0.3">
      <c r="A854" s="9"/>
    </row>
    <row r="855" spans="1:1" ht="14.25" customHeight="1" x14ac:dyDescent="0.3">
      <c r="A855" s="9"/>
    </row>
    <row r="856" spans="1:1" ht="14.25" customHeight="1" x14ac:dyDescent="0.3">
      <c r="A856" s="9"/>
    </row>
    <row r="857" spans="1:1" ht="14.25" customHeight="1" x14ac:dyDescent="0.3">
      <c r="A857" s="9"/>
    </row>
    <row r="858" spans="1:1" ht="14.25" customHeight="1" x14ac:dyDescent="0.3">
      <c r="A858" s="9"/>
    </row>
    <row r="859" spans="1:1" ht="14.25" customHeight="1" x14ac:dyDescent="0.3">
      <c r="A859" s="9"/>
    </row>
    <row r="860" spans="1:1" ht="14.25" customHeight="1" x14ac:dyDescent="0.3">
      <c r="A860" s="9"/>
    </row>
    <row r="861" spans="1:1" ht="14.25" customHeight="1" x14ac:dyDescent="0.3">
      <c r="A861" s="9"/>
    </row>
    <row r="862" spans="1:1" ht="14.25" customHeight="1" x14ac:dyDescent="0.3">
      <c r="A862" s="9"/>
    </row>
    <row r="863" spans="1:1" ht="14.25" customHeight="1" x14ac:dyDescent="0.3">
      <c r="A863" s="9"/>
    </row>
    <row r="864" spans="1:1" ht="14.25" customHeight="1" x14ac:dyDescent="0.3">
      <c r="A864" s="9"/>
    </row>
    <row r="865" spans="1:1" ht="14.25" customHeight="1" x14ac:dyDescent="0.3">
      <c r="A865" s="9"/>
    </row>
    <row r="866" spans="1:1" ht="14.25" customHeight="1" x14ac:dyDescent="0.3">
      <c r="A866" s="9"/>
    </row>
    <row r="867" spans="1:1" ht="14.25" customHeight="1" x14ac:dyDescent="0.3">
      <c r="A867" s="9"/>
    </row>
    <row r="868" spans="1:1" ht="14.25" customHeight="1" x14ac:dyDescent="0.3">
      <c r="A868" s="9"/>
    </row>
    <row r="869" spans="1:1" ht="14.25" customHeight="1" x14ac:dyDescent="0.3">
      <c r="A869" s="9"/>
    </row>
    <row r="870" spans="1:1" ht="14.25" customHeight="1" x14ac:dyDescent="0.3">
      <c r="A870" s="9"/>
    </row>
    <row r="871" spans="1:1" ht="14.25" customHeight="1" x14ac:dyDescent="0.3">
      <c r="A871" s="9"/>
    </row>
    <row r="872" spans="1:1" ht="14.25" customHeight="1" x14ac:dyDescent="0.3">
      <c r="A872" s="9"/>
    </row>
    <row r="873" spans="1:1" ht="14.25" customHeight="1" x14ac:dyDescent="0.3">
      <c r="A873" s="9"/>
    </row>
    <row r="874" spans="1:1" ht="14.25" customHeight="1" x14ac:dyDescent="0.3">
      <c r="A874" s="9"/>
    </row>
    <row r="875" spans="1:1" ht="14.25" customHeight="1" x14ac:dyDescent="0.3">
      <c r="A875" s="9"/>
    </row>
    <row r="876" spans="1:1" ht="14.25" customHeight="1" x14ac:dyDescent="0.3">
      <c r="A876" s="9"/>
    </row>
    <row r="877" spans="1:1" ht="14.25" customHeight="1" x14ac:dyDescent="0.3">
      <c r="A877" s="9"/>
    </row>
    <row r="878" spans="1:1" ht="14.25" customHeight="1" x14ac:dyDescent="0.3">
      <c r="A878" s="9"/>
    </row>
    <row r="879" spans="1:1" ht="14.25" customHeight="1" x14ac:dyDescent="0.3">
      <c r="A879" s="9"/>
    </row>
    <row r="880" spans="1:1" ht="14.25" customHeight="1" x14ac:dyDescent="0.3">
      <c r="A880" s="9"/>
    </row>
    <row r="881" spans="1:1" ht="14.25" customHeight="1" x14ac:dyDescent="0.3">
      <c r="A881" s="9"/>
    </row>
    <row r="882" spans="1:1" ht="14.25" customHeight="1" x14ac:dyDescent="0.3">
      <c r="A882" s="9"/>
    </row>
    <row r="883" spans="1:1" ht="14.25" customHeight="1" x14ac:dyDescent="0.3">
      <c r="A883" s="9"/>
    </row>
    <row r="884" spans="1:1" ht="14.25" customHeight="1" x14ac:dyDescent="0.3">
      <c r="A884" s="9"/>
    </row>
    <row r="885" spans="1:1" ht="14.25" customHeight="1" x14ac:dyDescent="0.3">
      <c r="A885" s="9"/>
    </row>
    <row r="886" spans="1:1" ht="14.25" customHeight="1" x14ac:dyDescent="0.3">
      <c r="A886" s="9"/>
    </row>
    <row r="887" spans="1:1" ht="14.25" customHeight="1" x14ac:dyDescent="0.3">
      <c r="A887" s="9"/>
    </row>
    <row r="888" spans="1:1" ht="14.25" customHeight="1" x14ac:dyDescent="0.3">
      <c r="A888" s="9"/>
    </row>
    <row r="889" spans="1:1" ht="14.25" customHeight="1" x14ac:dyDescent="0.3">
      <c r="A889" s="9"/>
    </row>
    <row r="890" spans="1:1" ht="14.25" customHeight="1" x14ac:dyDescent="0.3">
      <c r="A890" s="9"/>
    </row>
    <row r="891" spans="1:1" ht="14.25" customHeight="1" x14ac:dyDescent="0.3">
      <c r="A891" s="9"/>
    </row>
    <row r="892" spans="1:1" ht="14.25" customHeight="1" x14ac:dyDescent="0.3">
      <c r="A892" s="9"/>
    </row>
    <row r="893" spans="1:1" ht="14.25" customHeight="1" x14ac:dyDescent="0.3">
      <c r="A893" s="9"/>
    </row>
    <row r="894" spans="1:1" ht="14.25" customHeight="1" x14ac:dyDescent="0.3">
      <c r="A894" s="9"/>
    </row>
    <row r="895" spans="1:1" ht="14.25" customHeight="1" x14ac:dyDescent="0.3">
      <c r="A895" s="9"/>
    </row>
    <row r="896" spans="1:1" ht="14.25" customHeight="1" x14ac:dyDescent="0.3">
      <c r="A896" s="9"/>
    </row>
    <row r="897" spans="1:1" ht="14.25" customHeight="1" x14ac:dyDescent="0.3">
      <c r="A897" s="9"/>
    </row>
    <row r="898" spans="1:1" ht="14.25" customHeight="1" x14ac:dyDescent="0.3">
      <c r="A898" s="9"/>
    </row>
    <row r="899" spans="1:1" ht="14.25" customHeight="1" x14ac:dyDescent="0.3">
      <c r="A899" s="9"/>
    </row>
    <row r="900" spans="1:1" ht="14.25" customHeight="1" x14ac:dyDescent="0.3">
      <c r="A900" s="9"/>
    </row>
    <row r="901" spans="1:1" ht="14.25" customHeight="1" x14ac:dyDescent="0.3">
      <c r="A901" s="9"/>
    </row>
    <row r="902" spans="1:1" ht="14.25" customHeight="1" x14ac:dyDescent="0.3">
      <c r="A902" s="9"/>
    </row>
    <row r="903" spans="1:1" ht="14.25" customHeight="1" x14ac:dyDescent="0.3">
      <c r="A903" s="9"/>
    </row>
    <row r="904" spans="1:1" ht="14.25" customHeight="1" x14ac:dyDescent="0.3">
      <c r="A904" s="9"/>
    </row>
    <row r="905" spans="1:1" ht="14.25" customHeight="1" x14ac:dyDescent="0.3">
      <c r="A905" s="9"/>
    </row>
    <row r="906" spans="1:1" ht="14.25" customHeight="1" x14ac:dyDescent="0.3">
      <c r="A906" s="9"/>
    </row>
    <row r="907" spans="1:1" ht="14.25" customHeight="1" x14ac:dyDescent="0.3">
      <c r="A907" s="9"/>
    </row>
    <row r="908" spans="1:1" ht="14.25" customHeight="1" x14ac:dyDescent="0.3">
      <c r="A908" s="9"/>
    </row>
    <row r="909" spans="1:1" ht="14.25" customHeight="1" x14ac:dyDescent="0.3">
      <c r="A909" s="9"/>
    </row>
    <row r="910" spans="1:1" ht="14.25" customHeight="1" x14ac:dyDescent="0.3">
      <c r="A910" s="9"/>
    </row>
    <row r="911" spans="1:1" ht="14.25" customHeight="1" x14ac:dyDescent="0.3">
      <c r="A911" s="9"/>
    </row>
    <row r="912" spans="1:1" ht="14.25" customHeight="1" x14ac:dyDescent="0.3">
      <c r="A912" s="9"/>
    </row>
    <row r="913" spans="1:1" ht="14.25" customHeight="1" x14ac:dyDescent="0.3">
      <c r="A913" s="9"/>
    </row>
    <row r="914" spans="1:1" ht="14.25" customHeight="1" x14ac:dyDescent="0.3">
      <c r="A914" s="9"/>
    </row>
    <row r="915" spans="1:1" ht="14.25" customHeight="1" x14ac:dyDescent="0.3">
      <c r="A915" s="9"/>
    </row>
    <row r="916" spans="1:1" ht="14.25" customHeight="1" x14ac:dyDescent="0.3">
      <c r="A916" s="9"/>
    </row>
    <row r="917" spans="1:1" ht="14.25" customHeight="1" x14ac:dyDescent="0.3">
      <c r="A917" s="9"/>
    </row>
    <row r="918" spans="1:1" ht="14.25" customHeight="1" x14ac:dyDescent="0.3">
      <c r="A918" s="9"/>
    </row>
    <row r="919" spans="1:1" ht="14.25" customHeight="1" x14ac:dyDescent="0.3">
      <c r="A919" s="9"/>
    </row>
    <row r="920" spans="1:1" ht="14.25" customHeight="1" x14ac:dyDescent="0.3">
      <c r="A920" s="9"/>
    </row>
    <row r="921" spans="1:1" ht="14.25" customHeight="1" x14ac:dyDescent="0.3">
      <c r="A921" s="9"/>
    </row>
    <row r="922" spans="1:1" ht="14.25" customHeight="1" x14ac:dyDescent="0.3">
      <c r="A922" s="9"/>
    </row>
    <row r="923" spans="1:1" ht="14.25" customHeight="1" x14ac:dyDescent="0.3">
      <c r="A923" s="9"/>
    </row>
    <row r="924" spans="1:1" ht="14.25" customHeight="1" x14ac:dyDescent="0.3">
      <c r="A924" s="9"/>
    </row>
    <row r="925" spans="1:1" ht="14.25" customHeight="1" x14ac:dyDescent="0.3">
      <c r="A925" s="9"/>
    </row>
    <row r="926" spans="1:1" ht="14.25" customHeight="1" x14ac:dyDescent="0.3">
      <c r="A926" s="9"/>
    </row>
    <row r="927" spans="1:1" ht="14.25" customHeight="1" x14ac:dyDescent="0.3">
      <c r="A927" s="9"/>
    </row>
    <row r="928" spans="1:1" ht="14.25" customHeight="1" x14ac:dyDescent="0.3">
      <c r="A928" s="9"/>
    </row>
    <row r="929" spans="1:1" ht="14.25" customHeight="1" x14ac:dyDescent="0.3">
      <c r="A929" s="9"/>
    </row>
    <row r="930" spans="1:1" ht="14.25" customHeight="1" x14ac:dyDescent="0.3">
      <c r="A930" s="9"/>
    </row>
    <row r="931" spans="1:1" ht="14.25" customHeight="1" x14ac:dyDescent="0.3">
      <c r="A931" s="9"/>
    </row>
    <row r="932" spans="1:1" ht="14.25" customHeight="1" x14ac:dyDescent="0.3">
      <c r="A932" s="9"/>
    </row>
    <row r="933" spans="1:1" ht="14.25" customHeight="1" x14ac:dyDescent="0.3">
      <c r="A933" s="9"/>
    </row>
    <row r="934" spans="1:1" ht="14.25" customHeight="1" x14ac:dyDescent="0.3">
      <c r="A934" s="9"/>
    </row>
    <row r="935" spans="1:1" ht="14.25" customHeight="1" x14ac:dyDescent="0.3">
      <c r="A935" s="9"/>
    </row>
    <row r="936" spans="1:1" ht="14.25" customHeight="1" x14ac:dyDescent="0.3">
      <c r="A936" s="9"/>
    </row>
    <row r="937" spans="1:1" ht="14.25" customHeight="1" x14ac:dyDescent="0.3">
      <c r="A937" s="9"/>
    </row>
    <row r="938" spans="1:1" ht="14.25" customHeight="1" x14ac:dyDescent="0.3">
      <c r="A938" s="9"/>
    </row>
    <row r="939" spans="1:1" ht="14.25" customHeight="1" x14ac:dyDescent="0.3">
      <c r="A939" s="9"/>
    </row>
    <row r="940" spans="1:1" ht="14.25" customHeight="1" x14ac:dyDescent="0.3">
      <c r="A940" s="9"/>
    </row>
    <row r="941" spans="1:1" ht="14.25" customHeight="1" x14ac:dyDescent="0.3">
      <c r="A941" s="9"/>
    </row>
    <row r="942" spans="1:1" ht="14.25" customHeight="1" x14ac:dyDescent="0.3">
      <c r="A942" s="9"/>
    </row>
    <row r="943" spans="1:1" ht="14.25" customHeight="1" x14ac:dyDescent="0.3">
      <c r="A943" s="9"/>
    </row>
    <row r="944" spans="1:1" ht="14.25" customHeight="1" x14ac:dyDescent="0.3">
      <c r="A944" s="9"/>
    </row>
    <row r="945" spans="1:1" ht="14.25" customHeight="1" x14ac:dyDescent="0.3">
      <c r="A945" s="9"/>
    </row>
    <row r="946" spans="1:1" ht="14.25" customHeight="1" x14ac:dyDescent="0.3">
      <c r="A946" s="9"/>
    </row>
    <row r="947" spans="1:1" ht="14.25" customHeight="1" x14ac:dyDescent="0.3">
      <c r="A947" s="9"/>
    </row>
    <row r="948" spans="1:1" ht="14.25" customHeight="1" x14ac:dyDescent="0.3">
      <c r="A948" s="9"/>
    </row>
    <row r="949" spans="1:1" ht="14.25" customHeight="1" x14ac:dyDescent="0.3">
      <c r="A949" s="9"/>
    </row>
    <row r="950" spans="1:1" ht="14.25" customHeight="1" x14ac:dyDescent="0.3">
      <c r="A950" s="9"/>
    </row>
    <row r="951" spans="1:1" ht="14.25" customHeight="1" x14ac:dyDescent="0.3">
      <c r="A951" s="9"/>
    </row>
    <row r="952" spans="1:1" ht="14.25" customHeight="1" x14ac:dyDescent="0.3">
      <c r="A952" s="9"/>
    </row>
    <row r="953" spans="1:1" ht="14.25" customHeight="1" x14ac:dyDescent="0.3">
      <c r="A953" s="9"/>
    </row>
    <row r="954" spans="1:1" ht="14.25" customHeight="1" x14ac:dyDescent="0.3">
      <c r="A954" s="9"/>
    </row>
    <row r="955" spans="1:1" ht="14.25" customHeight="1" x14ac:dyDescent="0.3">
      <c r="A955" s="9"/>
    </row>
    <row r="956" spans="1:1" ht="14.25" customHeight="1" x14ac:dyDescent="0.3">
      <c r="A956" s="9"/>
    </row>
    <row r="957" spans="1:1" ht="14.25" customHeight="1" x14ac:dyDescent="0.3">
      <c r="A957" s="9"/>
    </row>
    <row r="958" spans="1:1" ht="14.25" customHeight="1" x14ac:dyDescent="0.3">
      <c r="A958" s="9"/>
    </row>
    <row r="959" spans="1:1" ht="14.25" customHeight="1" x14ac:dyDescent="0.3">
      <c r="A959" s="9"/>
    </row>
    <row r="960" spans="1:1" ht="14.25" customHeight="1" x14ac:dyDescent="0.3">
      <c r="A960" s="9"/>
    </row>
    <row r="961" spans="1:1" ht="14.25" customHeight="1" x14ac:dyDescent="0.3">
      <c r="A961" s="9"/>
    </row>
    <row r="962" spans="1:1" ht="14.25" customHeight="1" x14ac:dyDescent="0.3">
      <c r="A962" s="9"/>
    </row>
    <row r="963" spans="1:1" ht="14.25" customHeight="1" x14ac:dyDescent="0.3">
      <c r="A963" s="9"/>
    </row>
    <row r="964" spans="1:1" ht="14.25" customHeight="1" x14ac:dyDescent="0.3">
      <c r="A964" s="9"/>
    </row>
    <row r="965" spans="1:1" ht="14.25" customHeight="1" x14ac:dyDescent="0.3">
      <c r="A965" s="9"/>
    </row>
    <row r="966" spans="1:1" ht="14.25" customHeight="1" x14ac:dyDescent="0.3">
      <c r="A966" s="9"/>
    </row>
    <row r="967" spans="1:1" ht="14.25" customHeight="1" x14ac:dyDescent="0.3">
      <c r="A967" s="9"/>
    </row>
    <row r="968" spans="1:1" ht="14.25" customHeight="1" x14ac:dyDescent="0.3">
      <c r="A968" s="9"/>
    </row>
    <row r="969" spans="1:1" ht="14.25" customHeight="1" x14ac:dyDescent="0.3">
      <c r="A969" s="9"/>
    </row>
    <row r="970" spans="1:1" ht="14.25" customHeight="1" x14ac:dyDescent="0.3">
      <c r="A970" s="9"/>
    </row>
    <row r="971" spans="1:1" ht="14.25" customHeight="1" x14ac:dyDescent="0.3">
      <c r="A971" s="9"/>
    </row>
    <row r="972" spans="1:1" ht="14.25" customHeight="1" x14ac:dyDescent="0.3">
      <c r="A972" s="9"/>
    </row>
    <row r="973" spans="1:1" ht="14.25" customHeight="1" x14ac:dyDescent="0.3">
      <c r="A973" s="9"/>
    </row>
    <row r="974" spans="1:1" ht="14.25" customHeight="1" x14ac:dyDescent="0.3">
      <c r="A974" s="9"/>
    </row>
    <row r="975" spans="1:1" ht="14.25" customHeight="1" x14ac:dyDescent="0.3">
      <c r="A975" s="9"/>
    </row>
    <row r="976" spans="1:1" ht="14.25" customHeight="1" x14ac:dyDescent="0.3">
      <c r="A976" s="9"/>
    </row>
    <row r="977" spans="1:1" ht="14.25" customHeight="1" x14ac:dyDescent="0.3">
      <c r="A977" s="9"/>
    </row>
    <row r="978" spans="1:1" ht="14.25" customHeight="1" x14ac:dyDescent="0.3">
      <c r="A978" s="9"/>
    </row>
    <row r="979" spans="1:1" ht="14.25" customHeight="1" x14ac:dyDescent="0.3">
      <c r="A979" s="9"/>
    </row>
    <row r="980" spans="1:1" ht="14.25" customHeight="1" x14ac:dyDescent="0.3">
      <c r="A980" s="9"/>
    </row>
    <row r="981" spans="1:1" ht="14.25" customHeight="1" x14ac:dyDescent="0.3">
      <c r="A981" s="9"/>
    </row>
    <row r="982" spans="1:1" ht="14.25" customHeight="1" x14ac:dyDescent="0.3">
      <c r="A982" s="9"/>
    </row>
    <row r="983" spans="1:1" ht="14.25" customHeight="1" x14ac:dyDescent="0.3">
      <c r="A983" s="9"/>
    </row>
    <row r="984" spans="1:1" ht="14.25" customHeight="1" x14ac:dyDescent="0.3">
      <c r="A984" s="9"/>
    </row>
    <row r="985" spans="1:1" ht="14.25" customHeight="1" x14ac:dyDescent="0.3">
      <c r="A985" s="9"/>
    </row>
    <row r="986" spans="1:1" ht="14.25" customHeight="1" x14ac:dyDescent="0.3">
      <c r="A986" s="9"/>
    </row>
    <row r="987" spans="1:1" ht="14.25" customHeight="1" x14ac:dyDescent="0.3">
      <c r="A987" s="9"/>
    </row>
    <row r="988" spans="1:1" ht="14.25" customHeight="1" x14ac:dyDescent="0.3">
      <c r="A988" s="9"/>
    </row>
    <row r="989" spans="1:1" ht="14.25" customHeight="1" x14ac:dyDescent="0.3">
      <c r="A989" s="9"/>
    </row>
    <row r="990" spans="1:1" ht="14.25" customHeight="1" x14ac:dyDescent="0.3">
      <c r="A990" s="9"/>
    </row>
    <row r="991" spans="1:1" ht="14.25" customHeight="1" x14ac:dyDescent="0.3">
      <c r="A991" s="9"/>
    </row>
    <row r="992" spans="1:1" ht="14.25" customHeight="1" x14ac:dyDescent="0.3">
      <c r="A992" s="9"/>
    </row>
    <row r="993" spans="1:1" ht="14.25" customHeight="1" x14ac:dyDescent="0.3">
      <c r="A993" s="9"/>
    </row>
    <row r="994" spans="1:1" ht="14.25" customHeight="1" x14ac:dyDescent="0.3">
      <c r="A994" s="9"/>
    </row>
    <row r="995" spans="1:1" ht="14.25" customHeight="1" x14ac:dyDescent="0.3">
      <c r="A995" s="9"/>
    </row>
    <row r="996" spans="1:1" ht="14.25" customHeight="1" x14ac:dyDescent="0.3">
      <c r="A996" s="9"/>
    </row>
    <row r="997" spans="1:1" ht="14.25" customHeight="1" x14ac:dyDescent="0.3">
      <c r="A997" s="9"/>
    </row>
    <row r="998" spans="1:1" ht="14.25" customHeight="1" x14ac:dyDescent="0.3">
      <c r="A998" s="9"/>
    </row>
    <row r="999" spans="1:1" ht="14.25" customHeight="1" x14ac:dyDescent="0.3">
      <c r="A999" s="9"/>
    </row>
    <row r="1000" spans="1:1" ht="14.25" customHeight="1" x14ac:dyDescent="0.3">
      <c r="A1000" s="9"/>
    </row>
  </sheetData>
  <mergeCells count="2">
    <mergeCell ref="B2:C2"/>
    <mergeCell ref="E2:F2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Dashboard</vt:lpstr>
      <vt:lpstr>Transactions </vt:lpstr>
      <vt:lpstr>Charting</vt:lpstr>
      <vt:lpstr>Company</vt:lpstr>
      <vt:lpstr>currency</vt:lpstr>
      <vt:lpstr>Date</vt:lpstr>
      <vt:lpstr>IndustryLookup</vt:lpstr>
      <vt:lpstr>Price</vt:lpstr>
      <vt:lpstr>Ticker</vt:lpstr>
      <vt:lpstr>ttl_transaction_amt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bhat</dc:creator>
  <cp:lastModifiedBy>ada bhat</cp:lastModifiedBy>
  <dcterms:created xsi:type="dcterms:W3CDTF">2026-06-11T20:46:03Z</dcterms:created>
  <dcterms:modified xsi:type="dcterms:W3CDTF">2026-06-14T01:24:29Z</dcterms:modified>
</cp:coreProperties>
</file>